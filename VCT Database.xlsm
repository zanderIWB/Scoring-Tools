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anderkasparian/Documents/IWBenefits/Database/"/>
    </mc:Choice>
  </mc:AlternateContent>
  <xr:revisionPtr revIDLastSave="0" documentId="13_ncr:1_{85E8CD7F-085B-7D45-AC35-91C096201BB0}" xr6:coauthVersionLast="47" xr6:coauthVersionMax="47" xr10:uidLastSave="{00000000-0000-0000-0000-000000000000}"/>
  <bookViews>
    <workbookView xWindow="0" yWindow="500" windowWidth="28800" windowHeight="16040" activeTab="1" xr2:uid="{173A91B1-F3C6-4607-A506-84C187710AFE}"/>
  </bookViews>
  <sheets>
    <sheet name="Streamlit" sheetId="9" r:id="rId1"/>
    <sheet name="Streamlit_Performance" sheetId="10" r:id="rId2"/>
    <sheet name="Findings using Funcs" sheetId="7" r:id="rId3"/>
    <sheet name="AADV NAV TR" sheetId="8" r:id="rId4"/>
    <sheet name="Albion DATA" sheetId="1" r:id="rId5"/>
  </sheets>
  <functionGroups builtInGroupCount="19"/>
  <definedNames>
    <definedName name="_xlnm._FilterDatabase" localSheetId="2" hidden="1">'Findings using Funcs'!$B$4:$F$12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7" l="1" a="1"/>
  <c r="H12" i="7" a="1"/>
  <c r="H11" i="7" a="1"/>
  <c r="H10" i="7" a="1"/>
  <c r="H9" i="7" a="1"/>
  <c r="H8" i="7" a="1"/>
  <c r="H7" i="7" a="1"/>
  <c r="F12" i="7" a="1"/>
  <c r="F11" i="7" a="1"/>
  <c r="F10" i="7" a="1"/>
  <c r="F9" i="7" a="1"/>
  <c r="F8" i="7" a="1"/>
  <c r="F7" i="7" a="1"/>
  <c r="D8" i="7" a="1"/>
  <c r="C7" i="7" a="1"/>
  <c r="C10" i="7" a="1"/>
  <c r="C7" i="7" l="1"/>
  <c r="C10" i="7"/>
  <c r="H12" i="7"/>
  <c r="H11" i="7"/>
  <c r="H10" i="7"/>
  <c r="H9" i="7"/>
  <c r="H8" i="7"/>
  <c r="H7" i="7"/>
  <c r="F12" i="7"/>
  <c r="F11" i="7"/>
  <c r="F10" i="7"/>
  <c r="F9" i="7"/>
  <c r="F8" i="7"/>
  <c r="F7" i="7"/>
  <c r="D8" i="7"/>
  <c r="C8" i="7"/>
  <c r="D10" i="7" a="1"/>
  <c r="D10" i="7"/>
  <c r="D7" i="7" l="1" a="1"/>
  <c r="D7" i="7"/>
  <c r="D24" i="8"/>
  <c r="D20" i="8"/>
  <c r="D16" i="8"/>
  <c r="D12" i="8"/>
  <c r="D8" i="8"/>
  <c r="D6" i="8"/>
  <c r="D2" i="8"/>
  <c r="F3" i="8" s="1"/>
  <c r="F4" i="8" s="1"/>
  <c r="F5" i="8" s="1"/>
  <c r="F6" i="8" s="1"/>
  <c r="F7" i="8" s="1"/>
  <c r="D12" i="7" a="1"/>
  <c r="C12" i="7" a="1"/>
  <c r="D11" i="7" a="1"/>
  <c r="C11" i="7" a="1"/>
  <c r="C9" i="7" a="1"/>
  <c r="D9" i="7" a="1"/>
  <c r="D12" i="7" l="1"/>
  <c r="C12" i="7"/>
  <c r="D11" i="7"/>
  <c r="C11" i="7"/>
  <c r="C9" i="7"/>
  <c r="D9" i="7"/>
  <c r="F8" i="8"/>
  <c r="F9" i="8" s="1"/>
  <c r="F10" i="8" s="1"/>
  <c r="F11" i="8" s="1"/>
  <c r="G7" i="8"/>
  <c r="G3" i="8"/>
  <c r="F12" i="8" l="1"/>
  <c r="F13" i="8" s="1"/>
  <c r="F14" i="8" s="1"/>
  <c r="F15" i="8" s="1"/>
  <c r="G11" i="8"/>
  <c r="F16" i="8" l="1"/>
  <c r="F17" i="8" s="1"/>
  <c r="F18" i="8" s="1"/>
  <c r="F19" i="8" s="1"/>
  <c r="G15" i="8"/>
  <c r="F20" i="8" l="1"/>
  <c r="F21" i="8" s="1"/>
  <c r="F22" i="8" s="1"/>
  <c r="F23" i="8" s="1"/>
  <c r="H23" i="8" s="1"/>
  <c r="G19" i="8"/>
  <c r="F24" i="8" l="1"/>
  <c r="F25" i="8" s="1"/>
  <c r="F26" i="8" s="1"/>
  <c r="F27" i="8" s="1"/>
  <c r="G23" i="8"/>
  <c r="F28" i="8" l="1"/>
  <c r="F29" i="8" s="1"/>
  <c r="F30" i="8" s="1"/>
  <c r="F31" i="8" s="1"/>
  <c r="G27" i="8"/>
  <c r="F32" i="8" l="1"/>
  <c r="F33" i="8" s="1"/>
  <c r="F34" i="8" s="1"/>
  <c r="F35" i="8" s="1"/>
  <c r="H35" i="8" s="1"/>
  <c r="G31" i="8"/>
  <c r="F36" i="8" l="1"/>
  <c r="F37" i="8" s="1"/>
  <c r="F38" i="8" s="1"/>
  <c r="F39" i="8" s="1"/>
  <c r="G35" i="8"/>
  <c r="F40" i="8" l="1"/>
  <c r="F41" i="8" s="1"/>
  <c r="F42" i="8" s="1"/>
  <c r="F43" i="8" s="1"/>
  <c r="G39" i="8"/>
  <c r="F44" i="8" l="1"/>
  <c r="F45" i="8" s="1"/>
  <c r="F46" i="8" s="1"/>
  <c r="F47" i="8" s="1"/>
  <c r="H47" i="8" s="1"/>
  <c r="G43" i="8"/>
  <c r="F48" i="8" l="1"/>
  <c r="F49" i="8" s="1"/>
  <c r="F50" i="8" s="1"/>
  <c r="F51" i="8" s="1"/>
  <c r="G47" i="8"/>
  <c r="F52" i="8" l="1"/>
  <c r="F53" i="8" s="1"/>
  <c r="F54" i="8" s="1"/>
  <c r="F55" i="8" s="1"/>
  <c r="G51" i="8"/>
  <c r="F56" i="8" l="1"/>
  <c r="F57" i="8" s="1"/>
  <c r="F58" i="8" s="1"/>
  <c r="F59" i="8" s="1"/>
  <c r="G55" i="8"/>
  <c r="G59" i="8" l="1"/>
  <c r="H59" i="8"/>
  <c r="V3" i="7"/>
  <c r="N3" i="7"/>
  <c r="Z4" i="7"/>
  <c r="R4" i="7"/>
  <c r="V5" i="7"/>
  <c r="Z6" i="7"/>
  <c r="R6" i="7"/>
  <c r="AD7" i="7"/>
  <c r="N7" i="7"/>
  <c r="Z8" i="7"/>
  <c r="R8" i="7"/>
  <c r="AD9" i="7"/>
  <c r="V9" i="7"/>
  <c r="N9" i="7"/>
  <c r="R10" i="7"/>
  <c r="AD11" i="7"/>
  <c r="V11" i="7"/>
  <c r="V13" i="7"/>
  <c r="N13" i="7"/>
  <c r="Z14" i="7"/>
  <c r="R14" i="7"/>
  <c r="AD15" i="7"/>
  <c r="V15" i="7"/>
  <c r="R16" i="7"/>
  <c r="AH8" i="7"/>
  <c r="V17" i="7"/>
  <c r="N17" i="7"/>
  <c r="Z18" i="7"/>
  <c r="R18" i="7"/>
  <c r="AD19" i="7"/>
  <c r="V19" i="7"/>
  <c r="R20" i="7"/>
  <c r="AH12" i="7"/>
  <c r="V21" i="7"/>
  <c r="N21" i="7"/>
  <c r="Z22" i="7"/>
  <c r="AD23" i="7"/>
  <c r="V23" i="7"/>
  <c r="AH16" i="7"/>
  <c r="V25" i="7"/>
  <c r="N25" i="7"/>
  <c r="Z26" i="7"/>
  <c r="AH46" i="7"/>
  <c r="Z55" i="7"/>
  <c r="AF42" i="7"/>
  <c r="AF6" i="1"/>
  <c r="AI8" i="1"/>
  <c r="AI38" i="1"/>
  <c r="AI42" i="1"/>
  <c r="AI46" i="1"/>
  <c r="AC40" i="1"/>
  <c r="AC44" i="1"/>
  <c r="AC48" i="1"/>
  <c r="AC52" i="1"/>
  <c r="AC54" i="1"/>
  <c r="AC56" i="1"/>
  <c r="W8" i="1"/>
  <c r="W37" i="1"/>
  <c r="W41" i="1"/>
  <c r="W45" i="1"/>
  <c r="W49" i="1"/>
  <c r="W55" i="1"/>
  <c r="W57" i="1"/>
  <c r="W59" i="1"/>
  <c r="Q38" i="1"/>
  <c r="Q40" i="1"/>
  <c r="Q42" i="1"/>
  <c r="Q44" i="1"/>
  <c r="Q46" i="1"/>
  <c r="Q48" i="1"/>
  <c r="Q50" i="1"/>
  <c r="Q52" i="1"/>
  <c r="Q54" i="1"/>
  <c r="Q58" i="1"/>
  <c r="Q60" i="1"/>
  <c r="K43" i="1"/>
  <c r="K45" i="1"/>
  <c r="K47" i="1"/>
  <c r="K49" i="1"/>
  <c r="K53" i="1"/>
  <c r="K55" i="1"/>
  <c r="K57" i="1"/>
  <c r="K59" i="1"/>
  <c r="E38" i="1"/>
  <c r="E42" i="1"/>
  <c r="E46" i="1"/>
  <c r="E50" i="1"/>
  <c r="E54" i="1"/>
  <c r="E56" i="1"/>
  <c r="E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<sst xmlns="http://schemas.openxmlformats.org/spreadsheetml/2006/main" count="162" uniqueCount="56">
  <si>
    <t>Date</t>
  </si>
  <si>
    <t>Dividends</t>
  </si>
  <si>
    <t>Historic NAVs</t>
  </si>
  <si>
    <t>AADV</t>
  </si>
  <si>
    <t>AAEV</t>
  </si>
  <si>
    <t>AATG</t>
  </si>
  <si>
    <t>AVCT</t>
  </si>
  <si>
    <t>CRWN</t>
  </si>
  <si>
    <t>KAY</t>
  </si>
  <si>
    <t>1 year</t>
  </si>
  <si>
    <t>NAV</t>
  </si>
  <si>
    <t>Divi</t>
  </si>
  <si>
    <t>TR</t>
  </si>
  <si>
    <t>NAV cum TR</t>
  </si>
  <si>
    <t>3 year</t>
  </si>
  <si>
    <t>NAVTR</t>
  </si>
  <si>
    <t>VCT</t>
  </si>
  <si>
    <t>Management Group</t>
  </si>
  <si>
    <t>AIC Sector</t>
  </si>
  <si>
    <t>Date of last results</t>
  </si>
  <si>
    <t>Discount</t>
  </si>
  <si>
    <t>Net Assets</t>
  </si>
  <si>
    <t>Dividend Yield</t>
  </si>
  <si>
    <t>Net Cash</t>
  </si>
  <si>
    <t>Top 5 Weight</t>
  </si>
  <si>
    <t>NAV tr 1 yr</t>
  </si>
  <si>
    <t>NAV tr 10 yr</t>
  </si>
  <si>
    <t>NAV tr 5 yr</t>
  </si>
  <si>
    <t>Albion Development VCT</t>
  </si>
  <si>
    <t>Albion Enterprise VCT</t>
  </si>
  <si>
    <t>Albion Technology &amp; General VCT</t>
  </si>
  <si>
    <t>Albion VCT</t>
  </si>
  <si>
    <t>Crown Place VCT</t>
  </si>
  <si>
    <t>Kings Arms Yard VCT</t>
  </si>
  <si>
    <t>Albion Capital Group</t>
  </si>
  <si>
    <t>VCT Generalist</t>
  </si>
  <si>
    <t>Charge (w/ perf fee)</t>
  </si>
  <si>
    <t>TIDM</t>
  </si>
  <si>
    <t>AAVC</t>
  </si>
  <si>
    <t>NAV tr 6 m</t>
  </si>
  <si>
    <t>SPTR 6 m</t>
  </si>
  <si>
    <t>SPTR 1 yr</t>
  </si>
  <si>
    <t>SPTR 3 yr</t>
  </si>
  <si>
    <t>SPTR 5 yr</t>
  </si>
  <si>
    <t>SPTR 10 yr</t>
  </si>
  <si>
    <t>NAV tr 3 yr</t>
  </si>
  <si>
    <t>12-24 mths</t>
  </si>
  <si>
    <t>24-36 mths</t>
  </si>
  <si>
    <t>0 to 12 m</t>
  </si>
  <si>
    <t>12 to 24 m</t>
  </si>
  <si>
    <t>24 to 36 m</t>
  </si>
  <si>
    <t>Top 10 Weight</t>
  </si>
  <si>
    <t>Equivalent Equal Sized</t>
  </si>
  <si>
    <t>NAV per share</t>
  </si>
  <si>
    <t>Other</t>
  </si>
  <si>
    <t>Charge (w/o perf fee)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</si>
</sst>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.0_-;\-* #,##0.0_-;_-* &quot;-&quot;??_-;_-@_-"/>
    <numFmt numFmtId="166" formatCode="0.000"/>
    <numFmt numFmtId="167" formatCode="0.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14" fontId="0" fillId="0" borderId="0" xfId="0" applyNumberFormat="1" applyAlignment="1">
      <alignment horizontal="center"/>
    </xf>
    <xf numFmtId="164" fontId="0" fillId="0" borderId="0" xfId="1" applyFont="1"/>
    <xf numFmtId="14" fontId="0" fillId="0" borderId="0" xfId="0" applyNumberFormat="1"/>
    <xf numFmtId="164" fontId="0" fillId="0" borderId="0" xfId="1" applyFont="1" applyFill="1"/>
    <xf numFmtId="164" fontId="0" fillId="0" borderId="0" xfId="1" applyFont="1" applyBorder="1"/>
    <xf numFmtId="164" fontId="0" fillId="0" borderId="0" xfId="1" applyFont="1" applyFill="1" applyBorder="1"/>
    <xf numFmtId="164" fontId="1" fillId="0" borderId="0" xfId="1" applyFont="1" applyFill="1" applyBorder="1"/>
    <xf numFmtId="164" fontId="2" fillId="0" borderId="0" xfId="1" applyFont="1" applyBorder="1"/>
    <xf numFmtId="164" fontId="2" fillId="2" borderId="0" xfId="1" applyFont="1" applyFill="1" applyAlignment="1">
      <alignment horizontal="center"/>
    </xf>
    <xf numFmtId="164" fontId="0" fillId="0" borderId="0" xfId="0" applyNumberForma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2" fontId="0" fillId="0" borderId="0" xfId="0" applyNumberFormat="1"/>
    <xf numFmtId="0" fontId="0" fillId="0" borderId="1" xfId="0" applyBorder="1"/>
    <xf numFmtId="17" fontId="0" fillId="0" borderId="0" xfId="0" applyNumberFormat="1" applyAlignment="1">
      <alignment horizontal="right"/>
    </xf>
    <xf numFmtId="2" fontId="0" fillId="0" borderId="0" xfId="1" applyNumberFormat="1" applyFont="1" applyFill="1"/>
    <xf numFmtId="2" fontId="0" fillId="0" borderId="0" xfId="1" applyNumberFormat="1" applyFont="1" applyBorder="1"/>
    <xf numFmtId="2" fontId="0" fillId="0" borderId="0" xfId="1" applyNumberFormat="1" applyFont="1"/>
    <xf numFmtId="2" fontId="0" fillId="0" borderId="0" xfId="1" applyNumberFormat="1" applyFont="1" applyFill="1" applyBorder="1"/>
    <xf numFmtId="2" fontId="1" fillId="0" borderId="0" xfId="1" applyNumberFormat="1" applyFont="1" applyFill="1" applyBorder="1"/>
    <xf numFmtId="166" fontId="0" fillId="0" borderId="0" xfId="0" applyNumberFormat="1"/>
    <xf numFmtId="167" fontId="0" fillId="0" borderId="0" xfId="0" applyNumberFormat="1"/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1" xfId="1" applyFont="1" applyFill="1" applyBorder="1"/>
    <xf numFmtId="0" fontId="2" fillId="2" borderId="1" xfId="0" applyFont="1" applyFill="1" applyBorder="1" applyAlignment="1">
      <alignment horizontal="left"/>
    </xf>
    <xf numFmtId="164" fontId="0" fillId="0" borderId="1" xfId="1" applyFont="1" applyBorder="1"/>
    <xf numFmtId="164" fontId="0" fillId="0" borderId="1" xfId="0" applyNumberFormat="1" applyBorder="1"/>
    <xf numFmtId="2" fontId="0" fillId="0" borderId="1" xfId="0" applyNumberFormat="1" applyBorder="1"/>
    <xf numFmtId="165" fontId="0" fillId="0" borderId="1" xfId="1" applyNumberFormat="1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0" fillId="0" borderId="0" xfId="0" applyNumberFormat="1"/>
    <xf numFmtId="14" fontId="0" fillId="0" borderId="4" xfId="0" applyNumberFormat="1" applyBorder="1"/>
    <xf numFmtId="2" fontId="0" fillId="0" borderId="4" xfId="0" applyNumberFormat="1" applyBorder="1"/>
    <xf numFmtId="14" fontId="0" fillId="0" borderId="6" xfId="0" applyNumberFormat="1" applyBorder="1"/>
    <xf numFmtId="0" fontId="3" fillId="3" borderId="0" xfId="0" applyFont="1" applyFill="1"/>
    <xf numFmtId="10" fontId="0" fillId="0" borderId="0" xfId="0" applyNumberFormat="1"/>
    <xf numFmtId="1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2" fontId="0" fillId="0" borderId="4" xfId="2" applyNumberFormat="1" applyFont="1" applyBorder="1"/>
    <xf numFmtId="2" fontId="0" fillId="0" borderId="6" xfId="2" applyNumberFormat="1" applyFont="1" applyBorder="1"/>
  </cellXfs>
  <cellStyles count="3">
    <cellStyle name="Comma" xfId="1" builtinId="3"/>
    <cellStyle name="Normal" xfId="0" builtinId="0"/>
    <cellStyle name="Per cent" xfId="2" builtinId="5"/>
  </cellStyles>
  <dxfs count="1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7B872-7476-1941-A138-8B2884B4FF9C}" name="Table1" displayName="Table1" ref="A1:T7" totalsRowShown="0">
  <autoFilter ref="A1:T7" xr:uid="{B717B872-7476-1941-A138-8B2884B4FF9C}"/>
  <tableColumns count="20">
    <tableColumn id="1" xr3:uid="{896D4D72-6369-AB43-9F0E-E10C62C28DCA}" name="VCT"/>
    <tableColumn id="2" xr3:uid="{FF4C8784-041E-2943-878C-A9240FA29261}" name="Management Group"/>
    <tableColumn id="3" xr3:uid="{0DFC5F92-8A61-3E46-AF6A-A593DAFD022A}" name="AIC Sector"/>
    <tableColumn id="17" xr3:uid="{3EB2D0E6-5232-9A40-AF2B-5BD408940E23}" name="TIDM"/>
    <tableColumn id="5" xr3:uid="{FFC48C9D-17E6-C841-809A-ED2650FE376A}" name="Date of last results" dataDxfId="15"/>
    <tableColumn id="6" xr3:uid="{4C307A14-D3AC-884C-BE4D-A9D55D6D7002}" name="NAV tr 1 yr" dataDxfId="14"/>
    <tableColumn id="7" xr3:uid="{C9148E0C-53ED-A747-8918-C07F5FDD300A}" name="NAV tr 5 yr" dataDxfId="13"/>
    <tableColumn id="8" xr3:uid="{120A8B92-E593-174F-8D00-4E7FEEED9AA3}" name="NAV tr 10 yr" dataDxfId="12"/>
    <tableColumn id="19" xr3:uid="{A0B05C5B-D76F-B546-9140-D0E1043A1A7B}" name="0 to 12 m" dataDxfId="11" dataCellStyle="Per cent"/>
    <tableColumn id="20" xr3:uid="{35F97825-2080-3040-98DB-039ED19FBC04}" name="12 to 24 m" dataDxfId="10"/>
    <tableColumn id="21" xr3:uid="{FDA28093-DC0C-354C-A5EA-3809EA6E83D6}" name="24 to 36 m" dataDxfId="9"/>
    <tableColumn id="24" xr3:uid="{60B504E4-A412-5C4D-86A1-97EEAD284FE7}" name="Top 5 Weight" dataDxfId="8" dataCellStyle="Per cent"/>
    <tableColumn id="23" xr3:uid="{593FC30D-0321-C54D-8572-264C89FBB07F}" name="Top 10 Weight" dataDxfId="7" dataCellStyle="Per cent"/>
    <tableColumn id="22" xr3:uid="{AB622563-E8B5-E248-9493-79B976BD989E}" name="Equivalent Equal Sized" dataDxfId="6" dataCellStyle="Per cent"/>
    <tableColumn id="9" xr3:uid="{8F04232A-D2E3-084D-B506-2E0C9EE172A7}" name="Net Assets" dataDxfId="5"/>
    <tableColumn id="10" xr3:uid="{71B6A266-A7FD-E749-93F0-F88863A02065}" name="Discount" dataDxfId="4"/>
    <tableColumn id="12" xr3:uid="{CABAAA69-7945-9F47-BB79-1A7AF75AB1B8}" name="Dividend Yield" dataDxfId="3"/>
    <tableColumn id="13" xr3:uid="{C98CAB8E-CBBD-974B-A20D-04A0B8FB981E}" name="Charge (w/o perf fee)" dataDxfId="2"/>
    <tableColumn id="14" xr3:uid="{5A15F117-575D-2B42-B78B-4FBDF026EB99}" name="Charge (w/ perf fee)" dataDxfId="1"/>
    <tableColumn id="18" xr3:uid="{355DE582-BD51-6D4F-A9A4-1CB3D3E31AFB}" name="Net Cash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F313-5507-5F4B-83F4-C578ED9828D7}">
  <sheetPr codeName="Sheet4"/>
  <dimension ref="A1:T17"/>
  <sheetViews>
    <sheetView zoomScale="84" workbookViewId="0">
      <selection activeCell="I2" sqref="I2:K7"/>
    </sheetView>
  </sheetViews>
  <sheetFormatPr baseColWidth="10" defaultRowHeight="15" x14ac:dyDescent="0.2"/>
  <cols>
    <col min="1" max="1" width="26.6640625" bestFit="1" customWidth="1"/>
    <col min="2" max="2" width="18.5" customWidth="1"/>
    <col min="3" max="3" width="12" bestFit="1" customWidth="1"/>
    <col min="4" max="4" width="12" customWidth="1"/>
    <col min="5" max="5" width="17.1640625" customWidth="1"/>
    <col min="6" max="13" width="14.83203125" customWidth="1"/>
    <col min="14" max="14" width="21" bestFit="1" customWidth="1"/>
    <col min="15" max="15" width="14.83203125" customWidth="1"/>
    <col min="17" max="17" width="14.33203125" customWidth="1"/>
    <col min="18" max="20" width="24.5" customWidth="1"/>
  </cols>
  <sheetData>
    <row r="1" spans="1:20" x14ac:dyDescent="0.2">
      <c r="A1" t="s">
        <v>16</v>
      </c>
      <c r="B1" t="s">
        <v>17</v>
      </c>
      <c r="C1" t="s">
        <v>18</v>
      </c>
      <c r="D1" t="s">
        <v>37</v>
      </c>
      <c r="E1" t="s">
        <v>19</v>
      </c>
      <c r="F1" t="s">
        <v>25</v>
      </c>
      <c r="G1" t="s">
        <v>27</v>
      </c>
      <c r="H1" t="s">
        <v>26</v>
      </c>
      <c r="I1" t="s">
        <v>48</v>
      </c>
      <c r="J1" t="s">
        <v>49</v>
      </c>
      <c r="K1" t="s">
        <v>50</v>
      </c>
      <c r="L1" t="s">
        <v>24</v>
      </c>
      <c r="M1" t="s">
        <v>51</v>
      </c>
      <c r="N1" t="s">
        <v>52</v>
      </c>
      <c r="O1" t="s">
        <v>21</v>
      </c>
      <c r="P1" t="s">
        <v>20</v>
      </c>
      <c r="Q1" t="s">
        <v>22</v>
      </c>
      <c r="R1" t="s">
        <v>55</v>
      </c>
      <c r="S1" t="s">
        <v>36</v>
      </c>
      <c r="T1" t="s">
        <v>23</v>
      </c>
    </row>
    <row r="2" spans="1:20" x14ac:dyDescent="0.2">
      <c r="A2" t="s">
        <v>28</v>
      </c>
      <c r="B2" t="s">
        <v>34</v>
      </c>
      <c r="C2" t="s">
        <v>54</v>
      </c>
      <c r="D2" t="s">
        <v>3</v>
      </c>
      <c r="E2" s="6">
        <v>45107</v>
      </c>
      <c r="F2" s="16">
        <v>4.6900000000000004</v>
      </c>
      <c r="G2" s="16">
        <v>49.03</v>
      </c>
      <c r="H2" s="16">
        <v>124.38</v>
      </c>
      <c r="I2" s="47">
        <v>-1.85</v>
      </c>
      <c r="J2" s="47">
        <v>20.75</v>
      </c>
      <c r="K2" s="47">
        <v>4.12</v>
      </c>
      <c r="L2" s="40">
        <v>22</v>
      </c>
      <c r="M2" s="46">
        <v>40</v>
      </c>
      <c r="N2" s="40">
        <v>18</v>
      </c>
      <c r="O2" s="16">
        <v>126.45</v>
      </c>
      <c r="P2" s="16">
        <v>-5.1100000000000003</v>
      </c>
      <c r="Q2" s="16">
        <v>5.32</v>
      </c>
      <c r="R2" s="16">
        <v>2.4700000000000002</v>
      </c>
      <c r="S2" s="16">
        <v>2.4700000000000002</v>
      </c>
      <c r="T2" s="16">
        <v>23</v>
      </c>
    </row>
    <row r="3" spans="1:20" x14ac:dyDescent="0.2">
      <c r="A3" t="s">
        <v>29</v>
      </c>
      <c r="B3" t="s">
        <v>34</v>
      </c>
      <c r="C3" t="s">
        <v>35</v>
      </c>
      <c r="D3" t="s">
        <v>4</v>
      </c>
      <c r="E3" s="6">
        <v>45107</v>
      </c>
      <c r="F3" s="16">
        <v>4.9800000000000004</v>
      </c>
      <c r="G3" s="16">
        <v>49.18</v>
      </c>
      <c r="H3" s="16">
        <v>128.86000000000001</v>
      </c>
      <c r="I3" s="47">
        <v>-2.71</v>
      </c>
      <c r="J3" s="47">
        <v>20.99</v>
      </c>
      <c r="K3" s="47">
        <v>2.04</v>
      </c>
      <c r="L3" s="40">
        <v>18</v>
      </c>
      <c r="M3" s="46">
        <v>36</v>
      </c>
      <c r="N3" s="40">
        <v>16</v>
      </c>
      <c r="O3" s="16">
        <v>130.53</v>
      </c>
      <c r="P3" s="16">
        <v>-6.49</v>
      </c>
      <c r="Q3" s="16">
        <v>5.39</v>
      </c>
      <c r="R3" s="16">
        <v>2.64</v>
      </c>
      <c r="S3" s="16">
        <v>4.67</v>
      </c>
      <c r="T3" s="16">
        <v>22</v>
      </c>
    </row>
    <row r="4" spans="1:20" x14ac:dyDescent="0.2">
      <c r="A4" t="s">
        <v>30</v>
      </c>
      <c r="B4" t="s">
        <v>34</v>
      </c>
      <c r="C4" t="s">
        <v>35</v>
      </c>
      <c r="D4" t="s">
        <v>5</v>
      </c>
      <c r="E4" s="6">
        <v>45107</v>
      </c>
      <c r="F4" s="16">
        <v>3.38</v>
      </c>
      <c r="G4" s="16">
        <v>43.77</v>
      </c>
      <c r="H4" s="16">
        <v>76.02</v>
      </c>
      <c r="I4" s="47">
        <v>-4.76</v>
      </c>
      <c r="J4" s="47">
        <v>21.74</v>
      </c>
      <c r="K4" s="47">
        <v>-0.26</v>
      </c>
      <c r="L4" s="40">
        <v>40</v>
      </c>
      <c r="M4" s="46">
        <v>65</v>
      </c>
      <c r="N4" s="40">
        <v>12</v>
      </c>
      <c r="O4" s="16">
        <v>136.74</v>
      </c>
      <c r="P4" s="16">
        <v>-5.44</v>
      </c>
      <c r="Q4" s="16">
        <v>5.47</v>
      </c>
      <c r="R4" s="16">
        <v>2.82</v>
      </c>
      <c r="S4" s="16">
        <v>2.82</v>
      </c>
      <c r="T4" s="16">
        <v>22</v>
      </c>
    </row>
    <row r="5" spans="1:20" x14ac:dyDescent="0.2">
      <c r="A5" t="s">
        <v>31</v>
      </c>
      <c r="B5" t="s">
        <v>34</v>
      </c>
      <c r="C5" t="s">
        <v>35</v>
      </c>
      <c r="D5" t="s">
        <v>38</v>
      </c>
      <c r="E5" s="6">
        <v>45107</v>
      </c>
      <c r="F5" s="16">
        <v>1.62</v>
      </c>
      <c r="G5" s="16">
        <v>29.42</v>
      </c>
      <c r="H5" s="16">
        <v>87.39</v>
      </c>
      <c r="I5" s="47">
        <v>2.33</v>
      </c>
      <c r="J5" s="47">
        <v>7.35</v>
      </c>
      <c r="K5" s="47">
        <v>0.75</v>
      </c>
      <c r="L5" s="40">
        <v>35</v>
      </c>
      <c r="M5" s="46">
        <v>55</v>
      </c>
      <c r="N5" s="40">
        <v>10</v>
      </c>
      <c r="O5" s="16">
        <v>72.34</v>
      </c>
      <c r="P5" s="16">
        <v>-7.62</v>
      </c>
      <c r="Q5" s="16">
        <v>5.57</v>
      </c>
      <c r="R5" s="16">
        <v>2.61</v>
      </c>
      <c r="S5" s="16">
        <v>2.61</v>
      </c>
      <c r="T5" s="16">
        <v>28</v>
      </c>
    </row>
    <row r="6" spans="1:20" x14ac:dyDescent="0.2">
      <c r="A6" t="s">
        <v>32</v>
      </c>
      <c r="B6" t="s">
        <v>34</v>
      </c>
      <c r="C6" t="s">
        <v>35</v>
      </c>
      <c r="D6" t="s">
        <v>7</v>
      </c>
      <c r="E6" s="6">
        <v>45107</v>
      </c>
      <c r="F6" s="16">
        <v>5.52</v>
      </c>
      <c r="G6" s="16">
        <v>46.18</v>
      </c>
      <c r="H6" s="16">
        <v>120.41</v>
      </c>
      <c r="I6" s="47">
        <v>-0.94</v>
      </c>
      <c r="J6" s="47">
        <v>18.93</v>
      </c>
      <c r="K6" s="47">
        <v>0.84</v>
      </c>
      <c r="L6" s="40">
        <v>25</v>
      </c>
      <c r="M6" s="46">
        <v>40</v>
      </c>
      <c r="N6" s="40">
        <v>20</v>
      </c>
      <c r="O6" s="16">
        <v>95.45</v>
      </c>
      <c r="P6" s="16">
        <v>-6.41</v>
      </c>
      <c r="Q6" s="16">
        <v>6.35</v>
      </c>
      <c r="R6" s="16">
        <v>2.17</v>
      </c>
      <c r="S6" s="16">
        <v>2.89</v>
      </c>
      <c r="T6" s="16">
        <v>25</v>
      </c>
    </row>
    <row r="7" spans="1:20" x14ac:dyDescent="0.2">
      <c r="A7" t="s">
        <v>33</v>
      </c>
      <c r="B7" t="s">
        <v>34</v>
      </c>
      <c r="C7" t="s">
        <v>35</v>
      </c>
      <c r="D7" t="s">
        <v>8</v>
      </c>
      <c r="E7" s="6">
        <v>45107</v>
      </c>
      <c r="F7" s="16">
        <v>5.19</v>
      </c>
      <c r="G7" s="16">
        <v>39.090000000000003</v>
      </c>
      <c r="H7" s="16">
        <v>110.41</v>
      </c>
      <c r="I7" s="47">
        <v>0.74</v>
      </c>
      <c r="J7" s="47">
        <v>16.350000000000001</v>
      </c>
      <c r="K7" s="47">
        <v>4.5</v>
      </c>
      <c r="L7" s="40">
        <v>24</v>
      </c>
      <c r="M7" s="46">
        <v>39</v>
      </c>
      <c r="N7" s="40">
        <v>20</v>
      </c>
      <c r="O7" s="16">
        <v>114.14</v>
      </c>
      <c r="P7" s="16">
        <v>-6.23</v>
      </c>
      <c r="Q7" s="16">
        <v>11.22</v>
      </c>
      <c r="R7" s="16">
        <v>2.4300000000000002</v>
      </c>
      <c r="S7" s="16">
        <v>2.4300000000000002</v>
      </c>
      <c r="T7" s="16">
        <v>24</v>
      </c>
    </row>
    <row r="11" spans="1:20" x14ac:dyDescent="0.2">
      <c r="I11" s="16"/>
      <c r="J11" s="16"/>
      <c r="K11" s="16"/>
    </row>
    <row r="12" spans="1:20" x14ac:dyDescent="0.2">
      <c r="I12" s="16"/>
      <c r="J12" s="16"/>
      <c r="K12" s="16"/>
    </row>
    <row r="13" spans="1:20" x14ac:dyDescent="0.2">
      <c r="I13" s="16"/>
      <c r="J13" s="16"/>
      <c r="K13" s="16"/>
    </row>
    <row r="14" spans="1:20" x14ac:dyDescent="0.2">
      <c r="I14" s="16"/>
      <c r="J14" s="16"/>
      <c r="K14" s="16"/>
    </row>
    <row r="15" spans="1:20" x14ac:dyDescent="0.2">
      <c r="I15" s="16"/>
      <c r="J15" s="16"/>
      <c r="K15" s="16"/>
    </row>
    <row r="16" spans="1:20" x14ac:dyDescent="0.2">
      <c r="I16" s="16"/>
      <c r="J16" s="16"/>
      <c r="K16" s="16"/>
    </row>
    <row r="17" spans="9:11" x14ac:dyDescent="0.2">
      <c r="I17" s="16"/>
      <c r="J17" s="16"/>
      <c r="K17" s="16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BD0B3-B2FB-DE4C-9BB3-007EEF1B02A9}">
  <sheetPr codeName="Sheet5"/>
  <dimension ref="A1:S8"/>
  <sheetViews>
    <sheetView tabSelected="1" workbookViewId="0">
      <selection activeCell="D16" sqref="D16"/>
    </sheetView>
  </sheetViews>
  <sheetFormatPr baseColWidth="10" defaultRowHeight="15" x14ac:dyDescent="0.2"/>
  <cols>
    <col min="1" max="1" width="26.6640625" bestFit="1" customWidth="1"/>
    <col min="2" max="2" width="17.1640625" bestFit="1" customWidth="1"/>
    <col min="3" max="3" width="12" bestFit="1" customWidth="1"/>
    <col min="5" max="5" width="15.1640625" bestFit="1" customWidth="1"/>
    <col min="6" max="7" width="15.1640625" customWidth="1"/>
  </cols>
  <sheetData>
    <row r="1" spans="1:19" x14ac:dyDescent="0.2">
      <c r="A1" s="34" t="s">
        <v>16</v>
      </c>
      <c r="B1" s="35" t="s">
        <v>17</v>
      </c>
      <c r="C1" s="35" t="s">
        <v>18</v>
      </c>
      <c r="D1" s="35" t="s">
        <v>37</v>
      </c>
      <c r="E1" s="35" t="s">
        <v>19</v>
      </c>
      <c r="F1" s="35" t="s">
        <v>53</v>
      </c>
      <c r="G1" s="35" t="s">
        <v>39</v>
      </c>
      <c r="H1" s="35" t="s">
        <v>25</v>
      </c>
      <c r="I1" s="35" t="s">
        <v>45</v>
      </c>
      <c r="J1" s="35" t="s">
        <v>27</v>
      </c>
      <c r="K1" s="35" t="s">
        <v>26</v>
      </c>
      <c r="L1" s="35" t="s">
        <v>48</v>
      </c>
      <c r="M1" s="35" t="s">
        <v>49</v>
      </c>
      <c r="N1" s="35" t="s">
        <v>50</v>
      </c>
      <c r="O1" s="44" t="s">
        <v>40</v>
      </c>
      <c r="P1" s="44" t="s">
        <v>41</v>
      </c>
      <c r="Q1" s="44" t="s">
        <v>42</v>
      </c>
      <c r="R1" s="44" t="s">
        <v>43</v>
      </c>
      <c r="S1" s="44" t="s">
        <v>44</v>
      </c>
    </row>
    <row r="2" spans="1:19" x14ac:dyDescent="0.2">
      <c r="A2" s="36" t="s">
        <v>28</v>
      </c>
      <c r="B2" s="37" t="s">
        <v>54</v>
      </c>
      <c r="C2" s="37" t="s">
        <v>35</v>
      </c>
      <c r="D2" s="37" t="s">
        <v>3</v>
      </c>
      <c r="E2" s="41">
        <v>45107</v>
      </c>
      <c r="F2" s="42">
        <v>93.27</v>
      </c>
      <c r="G2" s="42">
        <v>7.74</v>
      </c>
      <c r="H2" s="42">
        <v>4.6900000000000004</v>
      </c>
      <c r="I2" s="42">
        <v>36.46</v>
      </c>
      <c r="J2" s="42">
        <v>49.03</v>
      </c>
      <c r="K2" s="42">
        <v>124.38</v>
      </c>
      <c r="L2" s="51">
        <v>-1.85</v>
      </c>
      <c r="M2" s="51">
        <v>20.75</v>
      </c>
      <c r="N2" s="51">
        <v>4.12</v>
      </c>
      <c r="O2" s="42">
        <v>4.32</v>
      </c>
      <c r="P2" s="42">
        <v>2.98</v>
      </c>
      <c r="Q2" s="42">
        <v>43.95</v>
      </c>
      <c r="R2" s="42">
        <v>60.39</v>
      </c>
      <c r="S2" s="42">
        <v>132.5</v>
      </c>
    </row>
    <row r="3" spans="1:19" x14ac:dyDescent="0.2">
      <c r="A3" s="36" t="s">
        <v>29</v>
      </c>
      <c r="B3" s="37" t="s">
        <v>34</v>
      </c>
      <c r="C3" s="37" t="s">
        <v>35</v>
      </c>
      <c r="D3" s="37" t="s">
        <v>4</v>
      </c>
      <c r="E3" s="41">
        <v>45107</v>
      </c>
      <c r="F3" s="42">
        <v>128.87</v>
      </c>
      <c r="G3" s="42">
        <v>7.79</v>
      </c>
      <c r="H3" s="42">
        <v>4.9800000000000004</v>
      </c>
      <c r="I3" s="42">
        <v>35.299999999999997</v>
      </c>
      <c r="J3" s="42">
        <v>49.18</v>
      </c>
      <c r="K3" s="42">
        <v>128.86000000000001</v>
      </c>
      <c r="L3" s="51">
        <v>-2.71</v>
      </c>
      <c r="M3" s="51">
        <v>20.99</v>
      </c>
      <c r="N3" s="51">
        <v>2.04</v>
      </c>
      <c r="O3" s="42">
        <v>2.71</v>
      </c>
      <c r="P3" s="42">
        <v>3.76</v>
      </c>
      <c r="Q3" s="42">
        <v>40.42</v>
      </c>
      <c r="R3" s="42">
        <v>68.55</v>
      </c>
      <c r="S3" s="42">
        <v>151.9</v>
      </c>
    </row>
    <row r="4" spans="1:19" x14ac:dyDescent="0.2">
      <c r="A4" s="36" t="s">
        <v>30</v>
      </c>
      <c r="B4" s="37" t="s">
        <v>34</v>
      </c>
      <c r="C4" s="37" t="s">
        <v>35</v>
      </c>
      <c r="D4" s="37" t="s">
        <v>5</v>
      </c>
      <c r="E4" s="41">
        <v>45107</v>
      </c>
      <c r="F4" s="42">
        <v>77.2</v>
      </c>
      <c r="G4" s="42">
        <v>8.4600000000000009</v>
      </c>
      <c r="H4" s="42">
        <v>3.38</v>
      </c>
      <c r="I4" s="42">
        <v>31.32</v>
      </c>
      <c r="J4" s="42">
        <v>43.77</v>
      </c>
      <c r="K4" s="42">
        <v>76.02</v>
      </c>
      <c r="L4" s="51">
        <v>-4.76</v>
      </c>
      <c r="M4" s="51">
        <v>21.74</v>
      </c>
      <c r="N4" s="51">
        <v>-0.26</v>
      </c>
      <c r="O4" s="42">
        <v>3.22</v>
      </c>
      <c r="P4" s="42">
        <v>0.48</v>
      </c>
      <c r="Q4" s="42">
        <v>35.200000000000003</v>
      </c>
      <c r="R4" s="42">
        <v>49.35</v>
      </c>
      <c r="S4" s="42">
        <v>87.83</v>
      </c>
    </row>
    <row r="5" spans="1:19" x14ac:dyDescent="0.2">
      <c r="A5" s="36" t="s">
        <v>31</v>
      </c>
      <c r="B5" s="37" t="s">
        <v>34</v>
      </c>
      <c r="C5" s="37" t="s">
        <v>35</v>
      </c>
      <c r="D5" s="37" t="s">
        <v>38</v>
      </c>
      <c r="E5" s="41">
        <v>45107</v>
      </c>
      <c r="F5" s="42">
        <v>51.53</v>
      </c>
      <c r="G5" s="42">
        <v>3.27</v>
      </c>
      <c r="H5" s="42">
        <v>1.62</v>
      </c>
      <c r="I5" s="42">
        <v>20.29</v>
      </c>
      <c r="J5" s="42">
        <v>29.42</v>
      </c>
      <c r="K5" s="42">
        <v>87.39</v>
      </c>
      <c r="L5" s="51">
        <v>2.33</v>
      </c>
      <c r="M5" s="51">
        <v>7.35</v>
      </c>
      <c r="N5" s="51">
        <v>0.75</v>
      </c>
      <c r="O5" s="42">
        <v>-2.21</v>
      </c>
      <c r="P5" s="42">
        <v>-0.45</v>
      </c>
      <c r="Q5" s="42">
        <v>22.7</v>
      </c>
      <c r="R5" s="42">
        <v>42.6</v>
      </c>
      <c r="S5" s="42">
        <v>102.53</v>
      </c>
    </row>
    <row r="6" spans="1:19" x14ac:dyDescent="0.2">
      <c r="A6" s="36" t="s">
        <v>32</v>
      </c>
      <c r="B6" s="37" t="s">
        <v>34</v>
      </c>
      <c r="C6" s="37" t="s">
        <v>35</v>
      </c>
      <c r="D6" s="37" t="s">
        <v>7</v>
      </c>
      <c r="E6" s="41">
        <v>45107</v>
      </c>
      <c r="F6" s="42">
        <v>33.659999999999997</v>
      </c>
      <c r="G6" s="42">
        <v>8.6300000000000008</v>
      </c>
      <c r="H6" s="42">
        <v>5.52</v>
      </c>
      <c r="I6" s="42">
        <v>31.31</v>
      </c>
      <c r="J6" s="42">
        <v>46.18</v>
      </c>
      <c r="K6" s="42">
        <v>120.41</v>
      </c>
      <c r="L6" s="51">
        <v>-0.94</v>
      </c>
      <c r="M6" s="51">
        <v>18.93</v>
      </c>
      <c r="N6" s="51">
        <v>0.84</v>
      </c>
      <c r="O6" s="42">
        <v>3.2</v>
      </c>
      <c r="P6" s="42">
        <v>3.32</v>
      </c>
      <c r="Q6" s="42">
        <v>33.119999999999997</v>
      </c>
      <c r="R6" s="42">
        <v>52.82</v>
      </c>
      <c r="S6" s="42">
        <v>129.27000000000001</v>
      </c>
    </row>
    <row r="7" spans="1:19" x14ac:dyDescent="0.2">
      <c r="A7" s="38" t="s">
        <v>33</v>
      </c>
      <c r="B7" s="39" t="s">
        <v>34</v>
      </c>
      <c r="C7" s="39" t="s">
        <v>35</v>
      </c>
      <c r="D7" s="39" t="s">
        <v>8</v>
      </c>
      <c r="E7" s="43">
        <v>45107</v>
      </c>
      <c r="F7" s="42">
        <v>21.86</v>
      </c>
      <c r="G7" s="42">
        <v>7.33</v>
      </c>
      <c r="H7" s="42">
        <v>5.19</v>
      </c>
      <c r="I7" s="42">
        <v>37.93</v>
      </c>
      <c r="J7" s="42">
        <v>39.090000000000003</v>
      </c>
      <c r="K7" s="42">
        <v>110.41</v>
      </c>
      <c r="L7" s="52">
        <v>0.74</v>
      </c>
      <c r="M7" s="52">
        <v>16.350000000000001</v>
      </c>
      <c r="N7" s="52">
        <v>4.5</v>
      </c>
      <c r="O7" s="42">
        <v>3.57</v>
      </c>
      <c r="P7" s="42">
        <v>2.7</v>
      </c>
      <c r="Q7" s="42">
        <v>44.86</v>
      </c>
      <c r="R7" s="42">
        <v>44</v>
      </c>
      <c r="S7" s="42">
        <v>122.97</v>
      </c>
    </row>
    <row r="8" spans="1:19" x14ac:dyDescent="0.2"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51E00-7717-2C44-BCC2-36A1EF261F42}">
  <sheetPr codeName="Sheet1"/>
  <dimension ref="B1:AH60"/>
  <sheetViews>
    <sheetView workbookViewId="0">
      <pane xSplit="9" topLeftCell="J1" activePane="topRight" state="frozen"/>
      <selection pane="topRight" activeCell="H23" sqref="H23"/>
    </sheetView>
  </sheetViews>
  <sheetFormatPr baseColWidth="10" defaultRowHeight="15" x14ac:dyDescent="0.2"/>
  <cols>
    <col min="3" max="3" width="12" bestFit="1" customWidth="1"/>
    <col min="4" max="4" width="15.5" customWidth="1"/>
    <col min="5" max="5" width="10.1640625" bestFit="1" customWidth="1"/>
    <col min="6" max="6" width="15.5" customWidth="1"/>
    <col min="8" max="8" width="13.1640625" customWidth="1"/>
    <col min="10" max="10" width="10.83203125" style="17"/>
    <col min="14" max="14" width="11.6640625" style="17" bestFit="1" customWidth="1"/>
    <col min="18" max="18" width="11.6640625" style="17" bestFit="1" customWidth="1"/>
    <col min="22" max="22" width="11.6640625" style="17" bestFit="1" customWidth="1"/>
    <col min="26" max="26" width="11.6640625" style="17" bestFit="1" customWidth="1"/>
    <col min="30" max="30" width="11.6640625" style="17" bestFit="1" customWidth="1"/>
    <col min="34" max="34" width="11.6640625" style="17" bestFit="1" customWidth="1"/>
  </cols>
  <sheetData>
    <row r="1" spans="2:34" x14ac:dyDescent="0.2">
      <c r="K1" s="48" t="s">
        <v>3</v>
      </c>
      <c r="L1" s="48"/>
      <c r="M1" s="48"/>
      <c r="N1" s="50"/>
      <c r="O1" s="49" t="s">
        <v>4</v>
      </c>
      <c r="P1" s="48"/>
      <c r="Q1" s="48"/>
      <c r="R1" s="50"/>
      <c r="S1" s="49" t="s">
        <v>5</v>
      </c>
      <c r="T1" s="48"/>
      <c r="U1" s="48"/>
      <c r="V1" s="50"/>
      <c r="W1" s="49" t="s">
        <v>6</v>
      </c>
      <c r="X1" s="48"/>
      <c r="Y1" s="48"/>
      <c r="Z1" s="50"/>
      <c r="AA1" s="49" t="s">
        <v>7</v>
      </c>
      <c r="AB1" s="48"/>
      <c r="AC1" s="48"/>
      <c r="AD1" s="50"/>
      <c r="AE1" s="49" t="s">
        <v>8</v>
      </c>
      <c r="AF1" s="48"/>
      <c r="AG1" s="48"/>
      <c r="AH1" s="50"/>
    </row>
    <row r="2" spans="2:34" x14ac:dyDescent="0.2">
      <c r="K2" s="26" t="s">
        <v>0</v>
      </c>
      <c r="L2" s="26" t="s">
        <v>1</v>
      </c>
      <c r="M2" s="26" t="s">
        <v>0</v>
      </c>
      <c r="N2" s="27" t="s">
        <v>2</v>
      </c>
      <c r="O2" s="1" t="s">
        <v>0</v>
      </c>
      <c r="P2" s="2" t="s">
        <v>1</v>
      </c>
      <c r="Q2" s="1" t="s">
        <v>0</v>
      </c>
      <c r="R2" s="29" t="s">
        <v>2</v>
      </c>
      <c r="S2" s="26" t="s">
        <v>0</v>
      </c>
      <c r="T2" s="26" t="s">
        <v>1</v>
      </c>
      <c r="U2" s="26" t="s">
        <v>0</v>
      </c>
      <c r="V2" s="27" t="s">
        <v>2</v>
      </c>
      <c r="W2" s="1" t="s">
        <v>0</v>
      </c>
      <c r="X2" s="2" t="s">
        <v>1</v>
      </c>
      <c r="Y2" s="1" t="s">
        <v>0</v>
      </c>
      <c r="Z2" s="29" t="s">
        <v>2</v>
      </c>
      <c r="AA2" s="1" t="s">
        <v>0</v>
      </c>
      <c r="AB2" s="2" t="s">
        <v>1</v>
      </c>
      <c r="AC2" s="1" t="s">
        <v>0</v>
      </c>
      <c r="AD2" s="29" t="s">
        <v>2</v>
      </c>
      <c r="AE2" s="1" t="s">
        <v>0</v>
      </c>
      <c r="AF2" s="2" t="s">
        <v>1</v>
      </c>
      <c r="AG2" s="1" t="s">
        <v>0</v>
      </c>
      <c r="AH2" s="29" t="s">
        <v>2</v>
      </c>
    </row>
    <row r="3" spans="2:34" x14ac:dyDescent="0.2">
      <c r="K3" s="4">
        <v>36469</v>
      </c>
      <c r="L3" s="5">
        <v>1</v>
      </c>
      <c r="M3" s="6">
        <v>39721</v>
      </c>
      <c r="N3" s="28">
        <f>89.9+5.5</f>
        <v>95.4</v>
      </c>
      <c r="O3" s="4">
        <v>39444</v>
      </c>
      <c r="P3" s="5">
        <v>0.7</v>
      </c>
      <c r="Q3" s="6">
        <v>39721</v>
      </c>
      <c r="R3" s="28">
        <v>92.5</v>
      </c>
      <c r="S3" s="4">
        <v>37183</v>
      </c>
      <c r="T3" s="5">
        <v>1</v>
      </c>
      <c r="U3" s="6">
        <v>39721</v>
      </c>
      <c r="V3" s="28">
        <f>103.9+4</f>
        <v>107.9</v>
      </c>
      <c r="W3" s="4">
        <v>35464</v>
      </c>
      <c r="X3" s="5">
        <v>2</v>
      </c>
      <c r="Y3" s="6">
        <v>39721</v>
      </c>
      <c r="Z3" s="28">
        <v>100</v>
      </c>
      <c r="AA3" s="4">
        <v>36143</v>
      </c>
      <c r="AB3" s="5">
        <v>1.25</v>
      </c>
      <c r="AC3" s="6">
        <v>39721</v>
      </c>
      <c r="AD3" s="28">
        <v>37.799999999999997</v>
      </c>
      <c r="AE3" s="4">
        <v>35352</v>
      </c>
      <c r="AF3" s="5">
        <v>0.9375</v>
      </c>
      <c r="AG3" s="6">
        <v>40543</v>
      </c>
      <c r="AH3" s="33">
        <v>16.600000000000001</v>
      </c>
    </row>
    <row r="4" spans="2:34" x14ac:dyDescent="0.2">
      <c r="K4" s="4">
        <v>36644</v>
      </c>
      <c r="L4" s="5">
        <v>1.5</v>
      </c>
      <c r="M4" s="6">
        <v>39813</v>
      </c>
      <c r="N4" s="28">
        <v>84.8</v>
      </c>
      <c r="O4" s="4">
        <v>39675</v>
      </c>
      <c r="P4" s="5">
        <v>0.4</v>
      </c>
      <c r="Q4" s="6">
        <v>39813</v>
      </c>
      <c r="R4" s="28">
        <f>90.5+1.25</f>
        <v>91.75</v>
      </c>
      <c r="S4" s="4">
        <v>37378</v>
      </c>
      <c r="T4" s="5">
        <v>1</v>
      </c>
      <c r="U4" s="6">
        <v>39813</v>
      </c>
      <c r="V4" s="28">
        <v>86.8</v>
      </c>
      <c r="W4" s="4">
        <v>35611</v>
      </c>
      <c r="X4" s="5">
        <v>3</v>
      </c>
      <c r="Y4" s="6">
        <v>39813</v>
      </c>
      <c r="Z4" s="28">
        <f>90.1+5</f>
        <v>95.1</v>
      </c>
      <c r="AA4" s="4">
        <v>36253</v>
      </c>
      <c r="AB4" s="5">
        <v>2.81</v>
      </c>
      <c r="AC4" s="6">
        <v>39813</v>
      </c>
      <c r="AD4" s="28">
        <v>36.29</v>
      </c>
      <c r="AE4" s="4">
        <v>35571</v>
      </c>
      <c r="AF4" s="5">
        <v>1.5625</v>
      </c>
      <c r="AG4" s="6">
        <v>40633</v>
      </c>
      <c r="AH4" s="33">
        <v>16.495680923111586</v>
      </c>
    </row>
    <row r="5" spans="2:34" ht="16" customHeight="1" x14ac:dyDescent="0.2">
      <c r="C5" s="48" t="s">
        <v>9</v>
      </c>
      <c r="D5" s="48"/>
      <c r="E5" s="48" t="s">
        <v>46</v>
      </c>
      <c r="F5" s="48"/>
      <c r="G5" s="48" t="s">
        <v>47</v>
      </c>
      <c r="H5" s="48"/>
      <c r="K5" s="4">
        <v>36826</v>
      </c>
      <c r="L5" s="5">
        <v>1.4</v>
      </c>
      <c r="M5" s="6">
        <v>39903</v>
      </c>
      <c r="N5" s="28">
        <v>82</v>
      </c>
      <c r="O5" s="4">
        <v>39822</v>
      </c>
      <c r="P5" s="5">
        <v>1.25</v>
      </c>
      <c r="Q5" s="6">
        <v>39903</v>
      </c>
      <c r="R5" s="28">
        <v>88.82</v>
      </c>
      <c r="S5" s="4">
        <v>37538</v>
      </c>
      <c r="T5" s="5">
        <v>1</v>
      </c>
      <c r="U5" s="6">
        <v>39903</v>
      </c>
      <c r="V5" s="28">
        <f>88.2</f>
        <v>88.2</v>
      </c>
      <c r="W5" s="4">
        <v>35818</v>
      </c>
      <c r="X5" s="5">
        <v>2.2000000000000002</v>
      </c>
      <c r="Y5" s="6">
        <v>39903</v>
      </c>
      <c r="Z5" s="28">
        <v>85.3</v>
      </c>
      <c r="AA5" s="4">
        <v>36504</v>
      </c>
      <c r="AB5" s="5">
        <v>1</v>
      </c>
      <c r="AC5" s="6">
        <v>39903</v>
      </c>
      <c r="AD5" s="28">
        <v>33.799999999999997</v>
      </c>
      <c r="AE5" s="4">
        <v>35710</v>
      </c>
      <c r="AF5" s="5">
        <v>0.98440000000000005</v>
      </c>
      <c r="AG5" s="6">
        <v>40724</v>
      </c>
      <c r="AH5" s="33">
        <v>16</v>
      </c>
    </row>
    <row r="6" spans="2:34" ht="16" customHeight="1" x14ac:dyDescent="0.2">
      <c r="C6" t="s">
        <v>13</v>
      </c>
      <c r="D6" t="s">
        <v>15</v>
      </c>
      <c r="E6" t="s">
        <v>13</v>
      </c>
      <c r="F6" t="s">
        <v>15</v>
      </c>
      <c r="G6" t="s">
        <v>13</v>
      </c>
      <c r="H6" t="s">
        <v>15</v>
      </c>
      <c r="K6" s="4">
        <v>37008</v>
      </c>
      <c r="L6" s="5">
        <v>2.35</v>
      </c>
      <c r="M6" s="6">
        <v>39994</v>
      </c>
      <c r="N6" s="28">
        <v>79.2</v>
      </c>
      <c r="O6" s="4">
        <v>40032</v>
      </c>
      <c r="P6" s="5">
        <v>1</v>
      </c>
      <c r="Q6" s="6">
        <v>39994</v>
      </c>
      <c r="R6" s="28">
        <f>87.1+1</f>
        <v>88.1</v>
      </c>
      <c r="S6" s="4">
        <v>37741</v>
      </c>
      <c r="T6" s="5">
        <v>1</v>
      </c>
      <c r="U6" s="6">
        <v>39994</v>
      </c>
      <c r="V6" s="28">
        <v>86.9</v>
      </c>
      <c r="W6" s="4">
        <v>36007</v>
      </c>
      <c r="X6" s="5">
        <v>3.8</v>
      </c>
      <c r="Y6" s="6">
        <v>39994</v>
      </c>
      <c r="Z6" s="28">
        <f>82.8+2.5</f>
        <v>85.3</v>
      </c>
      <c r="AA6" s="4">
        <v>36556</v>
      </c>
      <c r="AB6" s="5">
        <v>1.06</v>
      </c>
      <c r="AC6" s="6">
        <v>39994</v>
      </c>
      <c r="AD6" s="28">
        <v>34.200000000000003</v>
      </c>
      <c r="AE6" s="4">
        <v>35929</v>
      </c>
      <c r="AF6" s="5">
        <v>1.875</v>
      </c>
      <c r="AG6" s="6">
        <v>40816</v>
      </c>
      <c r="AH6" s="33">
        <v>16.5</v>
      </c>
    </row>
    <row r="7" spans="2:34" x14ac:dyDescent="0.2">
      <c r="B7" t="s">
        <v>3</v>
      </c>
      <c r="C7" s="25" cm="1">
        <f t="array" ref="C7">CalculateNAVcum(K3:K60,L3:L60,M3:M60,N3:N60,M56,M60)</f>
        <v>-1.7056222362602635E-2</v>
      </c>
      <c r="D7" s="45" cm="1">
        <f t="array" ref="D7">CalculateNAVTR(K3:K60,L3:L60,M3:M60,N3:N60,M56,M60)</f>
        <v>-1.8477626690200255E-2</v>
      </c>
      <c r="E7" s="45"/>
      <c r="F7" s="45" cm="1">
        <f t="array" ref="F7">CalculateNAVTR(K3:K60,L3:L60,M3:M60,N3:N60,M52,M56)</f>
        <v>0.20749301352085192</v>
      </c>
      <c r="G7" s="45"/>
      <c r="H7" s="45" cm="1">
        <f t="array" ref="H7">CalculateNAVTR(K3:K60,L3:L60,M3:M60,N3:N60,M48,M52)</f>
        <v>4.1224619926486294E-2</v>
      </c>
      <c r="K7" s="4">
        <v>37190</v>
      </c>
      <c r="L7" s="5">
        <v>1.6</v>
      </c>
      <c r="M7" s="6">
        <v>40086</v>
      </c>
      <c r="N7" s="28">
        <f>77.3</f>
        <v>77.3</v>
      </c>
      <c r="O7" s="4">
        <v>40184</v>
      </c>
      <c r="P7" s="5">
        <v>1</v>
      </c>
      <c r="Q7" s="6">
        <v>40086</v>
      </c>
      <c r="R7" s="28">
        <v>87.7</v>
      </c>
      <c r="S7" s="4">
        <v>37918</v>
      </c>
      <c r="T7" s="5">
        <v>0.5</v>
      </c>
      <c r="U7" s="6">
        <v>40086</v>
      </c>
      <c r="V7" s="28">
        <v>87.8</v>
      </c>
      <c r="W7" s="4">
        <v>36174</v>
      </c>
      <c r="X7" s="5">
        <v>2.75</v>
      </c>
      <c r="Y7" s="6">
        <v>40086</v>
      </c>
      <c r="Z7" s="28">
        <v>81.900000000000006</v>
      </c>
      <c r="AA7" s="4">
        <v>36721</v>
      </c>
      <c r="AB7" s="5">
        <v>2.1</v>
      </c>
      <c r="AC7" s="6">
        <v>40086</v>
      </c>
      <c r="AD7" s="28">
        <f>33.7+1.25</f>
        <v>34.950000000000003</v>
      </c>
      <c r="AE7" s="4">
        <v>36069</v>
      </c>
      <c r="AF7" s="5">
        <v>1</v>
      </c>
      <c r="AG7" s="6">
        <v>40908</v>
      </c>
      <c r="AH7" s="33">
        <v>16.7</v>
      </c>
    </row>
    <row r="8" spans="2:34" ht="15" customHeight="1" x14ac:dyDescent="0.2">
      <c r="B8" t="s">
        <v>4</v>
      </c>
      <c r="C8" s="25" cm="1">
        <f t="array" ref="C8">CalculateNAVcum(O3:O60,P3:P60,Q3:Q60,R3:R60,Q3,Q60)</f>
        <v>1.0281081081081083</v>
      </c>
      <c r="D8" s="45" cm="1">
        <f t="array" ref="D8">CalculateNAVTR(O3:O60,P3:P60,Q3:Q60,R3:R60,Q56,Q60)</f>
        <v>-2.7102136055625281E-2</v>
      </c>
      <c r="E8" s="45"/>
      <c r="F8" s="45" cm="1">
        <f t="array" ref="F8">CalculateNAVTR(O3:O60,P3:P60,Q3:Q60,R3:R60,Q52,Q56)</f>
        <v>0.20986445726932912</v>
      </c>
      <c r="G8" s="45"/>
      <c r="H8" s="45" cm="1">
        <f t="array" ref="H8">CalculateNAVTR(O3:O60,P3:P60,Q3:Q60,R3:R60,Q48,Q52)</f>
        <v>2.039383099873282E-2</v>
      </c>
      <c r="K8" s="4">
        <v>37363</v>
      </c>
      <c r="L8" s="5">
        <v>2.4</v>
      </c>
      <c r="M8" s="6">
        <v>40178</v>
      </c>
      <c r="N8" s="28">
        <v>79.3</v>
      </c>
      <c r="O8" s="4">
        <v>40397</v>
      </c>
      <c r="P8" s="5">
        <v>1.5</v>
      </c>
      <c r="Q8" s="6">
        <v>40178</v>
      </c>
      <c r="R8" s="28">
        <f>87.6+1</f>
        <v>88.6</v>
      </c>
      <c r="S8" s="4">
        <v>38099</v>
      </c>
      <c r="T8" s="5">
        <v>1.5</v>
      </c>
      <c r="U8" s="6">
        <v>40178</v>
      </c>
      <c r="V8" s="28">
        <v>92.7</v>
      </c>
      <c r="W8" s="4">
        <v>36250</v>
      </c>
      <c r="X8" s="5">
        <v>4.5</v>
      </c>
      <c r="Y8" s="6">
        <v>40178</v>
      </c>
      <c r="Z8" s="28">
        <f>79.8+2.5</f>
        <v>82.3</v>
      </c>
      <c r="AA8" s="4">
        <v>36868</v>
      </c>
      <c r="AB8" s="5">
        <v>1</v>
      </c>
      <c r="AC8" s="6">
        <v>40178</v>
      </c>
      <c r="AD8" s="28">
        <v>34.18</v>
      </c>
      <c r="AE8" s="4">
        <v>36243</v>
      </c>
      <c r="AF8" s="5">
        <v>1.25</v>
      </c>
      <c r="AG8" s="6">
        <v>40999</v>
      </c>
      <c r="AH8" s="33">
        <f>16.2+0.5</f>
        <v>16.7</v>
      </c>
    </row>
    <row r="9" spans="2:34" x14ac:dyDescent="0.2">
      <c r="B9" t="s">
        <v>5</v>
      </c>
      <c r="C9" s="25" cm="1">
        <f t="array" ref="C9">CalculateNAVcum(S3:S60,T3:T60,U3:U60,V3:V60,U56,U60)</f>
        <v>-4.6373217606943629E-2</v>
      </c>
      <c r="D9" s="45" cm="1">
        <f t="array" ref="D9">CalculateNAVTR(S3:S60,T3:T60,U3:U60,V3:V60,U56,U60)</f>
        <v>-4.7582732022989238E-2</v>
      </c>
      <c r="E9" s="45"/>
      <c r="F9" s="45" cm="1">
        <f t="array" ref="F9">CalculateNAVTR(S3:S60,T3:T60,U3:U60,V3:V60,U52,U56)</f>
        <v>0.21741948735581684</v>
      </c>
      <c r="G9" s="45"/>
      <c r="H9" s="45" cm="1">
        <f t="array" ref="H9">CalculateNAVTR(S3:S60,T3:T60,U3:U60,V3:V60,U48,U52)</f>
        <v>-2.6284626511138276E-3</v>
      </c>
      <c r="K9" s="4">
        <v>37551</v>
      </c>
      <c r="L9" s="5">
        <v>1.8</v>
      </c>
      <c r="M9" s="6">
        <v>40268</v>
      </c>
      <c r="N9" s="28">
        <f>77.8+4</f>
        <v>81.8</v>
      </c>
      <c r="O9" s="4">
        <v>40599</v>
      </c>
      <c r="P9" s="5">
        <v>1.5</v>
      </c>
      <c r="Q9" s="6">
        <v>40268</v>
      </c>
      <c r="R9" s="28">
        <v>88.25</v>
      </c>
      <c r="S9" s="4">
        <v>38281</v>
      </c>
      <c r="T9" s="5">
        <v>6</v>
      </c>
      <c r="U9" s="6">
        <v>40268</v>
      </c>
      <c r="V9" s="28">
        <f>91.5+4</f>
        <v>95.5</v>
      </c>
      <c r="W9" s="4">
        <v>36371</v>
      </c>
      <c r="X9" s="5">
        <v>0.5</v>
      </c>
      <c r="Y9" s="6">
        <v>40268</v>
      </c>
      <c r="Z9" s="28">
        <v>81.599999999999994</v>
      </c>
      <c r="AA9" s="4">
        <v>37085</v>
      </c>
      <c r="AB9" s="5">
        <v>2</v>
      </c>
      <c r="AC9" s="6">
        <v>40268</v>
      </c>
      <c r="AD9" s="28">
        <f>33.5+1.25</f>
        <v>34.75</v>
      </c>
      <c r="AE9" s="4">
        <v>36290</v>
      </c>
      <c r="AF9" s="5">
        <v>0.11</v>
      </c>
      <c r="AG9" s="6">
        <v>41090</v>
      </c>
      <c r="AH9" s="33">
        <v>17.100000000000001</v>
      </c>
    </row>
    <row r="10" spans="2:34" x14ac:dyDescent="0.2">
      <c r="B10" t="s">
        <v>6</v>
      </c>
      <c r="C10" s="25" cm="1">
        <f t="array" ref="C10">CalculateNAVcum(W3:W60,X3:X60,Y3:Y60,Z3:Z60,Y56,Y60)</f>
        <v>2.4385633270321398E-2</v>
      </c>
      <c r="D10" s="45" cm="1">
        <f t="array" ref="D10">CalculateNAVTR(W3:W60,X3:X60,Y3:Y60,Z3:Z60,Y56,Y60)</f>
        <v>2.3304633270253117E-2</v>
      </c>
      <c r="E10" s="45"/>
      <c r="F10" s="45" cm="1">
        <f t="array" ref="F10">CalculateNAVTR(W3:W60,X3:X60,Y3:Y60,Z3:Z60,Y52,Y56)</f>
        <v>7.3462082890045854E-2</v>
      </c>
      <c r="G10" s="45"/>
      <c r="H10" s="45" cm="1">
        <f t="array" ref="H10">CalculateNAVTR(W3:W60,X3:X60,Y3:Y60,Z3:Z60,Y48,Y52)</f>
        <v>7.5172156253244804E-3</v>
      </c>
      <c r="K10" s="4">
        <v>37686</v>
      </c>
      <c r="L10" s="5">
        <v>2.7</v>
      </c>
      <c r="M10" s="6">
        <v>40359</v>
      </c>
      <c r="N10" s="28">
        <v>77</v>
      </c>
      <c r="O10" s="4">
        <v>40786</v>
      </c>
      <c r="P10" s="5">
        <v>1.5</v>
      </c>
      <c r="Q10" s="6">
        <v>40359</v>
      </c>
      <c r="R10" s="28">
        <f>86.8+1.5</f>
        <v>88.3</v>
      </c>
      <c r="S10" s="4">
        <v>38468</v>
      </c>
      <c r="T10" s="5">
        <v>1</v>
      </c>
      <c r="U10" s="6">
        <v>40359</v>
      </c>
      <c r="V10" s="28">
        <v>92</v>
      </c>
      <c r="W10" s="4">
        <v>36539</v>
      </c>
      <c r="X10" s="5">
        <v>2.5</v>
      </c>
      <c r="Y10" s="6">
        <v>40359</v>
      </c>
      <c r="Z10" s="28">
        <v>80</v>
      </c>
      <c r="AA10" s="4">
        <v>37253</v>
      </c>
      <c r="AB10" s="5">
        <v>0.5</v>
      </c>
      <c r="AC10" s="6">
        <v>40359</v>
      </c>
      <c r="AD10" s="28">
        <v>33.9</v>
      </c>
      <c r="AE10" s="4">
        <v>36455</v>
      </c>
      <c r="AF10" s="5">
        <v>5.75</v>
      </c>
      <c r="AG10" s="6">
        <v>41182</v>
      </c>
      <c r="AH10" s="33">
        <v>16.600000000000001</v>
      </c>
    </row>
    <row r="11" spans="2:34" x14ac:dyDescent="0.2">
      <c r="B11" t="s">
        <v>7</v>
      </c>
      <c r="C11" s="25" cm="1">
        <f t="array" ref="C11">CalculateNAVcum(AA3:AA60,AB3:AB60,AC3:AC60,AD3:AD60,AC56,AC60)</f>
        <v>-8.5900473933648979E-3</v>
      </c>
      <c r="D11" s="45" cm="1">
        <f t="array" ref="D11">CalculateNAVTR(AA3:AA60,AB3:AB60,AC3:AC60,AD3:AD60,AC56,AC60)</f>
        <v>-9.3872006984583312E-3</v>
      </c>
      <c r="E11" s="45"/>
      <c r="F11" s="45" cm="1">
        <f t="array" ref="F11">CalculateNAVTR(AA3:AA60,AB3:AB60,AC3:AC60,AD3:AD60,AC52,AC56)</f>
        <v>0.18927397254841338</v>
      </c>
      <c r="G11" s="45"/>
      <c r="H11" s="45" cm="1">
        <f t="array" ref="H11">CalculateNAVTR(AA3:AA60,AB3:AB60,AC3:AC60,AD3:AD60,AC48,AC52)</f>
        <v>8.3670352157170225E-3</v>
      </c>
      <c r="K11" s="4">
        <v>37925</v>
      </c>
      <c r="L11" s="5">
        <v>1.8</v>
      </c>
      <c r="M11" s="6">
        <v>40451</v>
      </c>
      <c r="N11" s="28">
        <v>75.7</v>
      </c>
      <c r="O11" s="4">
        <v>40968</v>
      </c>
      <c r="P11" s="5">
        <v>1.5</v>
      </c>
      <c r="Q11" s="6">
        <v>40451</v>
      </c>
      <c r="R11" s="28">
        <v>88.1</v>
      </c>
      <c r="S11" s="4">
        <v>38547</v>
      </c>
      <c r="T11" s="5">
        <v>4</v>
      </c>
      <c r="U11" s="6">
        <v>40451</v>
      </c>
      <c r="V11" s="28">
        <f>89.6+4</f>
        <v>93.6</v>
      </c>
      <c r="W11" s="4">
        <v>36707</v>
      </c>
      <c r="X11" s="5">
        <v>6.05</v>
      </c>
      <c r="Y11" s="6">
        <v>40451</v>
      </c>
      <c r="Z11" s="28">
        <v>80.8</v>
      </c>
      <c r="AA11" s="4">
        <v>37277</v>
      </c>
      <c r="AB11" s="5">
        <v>1.3</v>
      </c>
      <c r="AC11" s="6">
        <v>40451</v>
      </c>
      <c r="AD11" s="28">
        <f>33.8+1.25</f>
        <v>35.049999999999997</v>
      </c>
      <c r="AE11" s="4">
        <v>36678</v>
      </c>
      <c r="AF11" s="5">
        <v>10</v>
      </c>
      <c r="AG11" s="6">
        <v>41274</v>
      </c>
      <c r="AH11" s="33">
        <v>18.899999999999999</v>
      </c>
    </row>
    <row r="12" spans="2:34" x14ac:dyDescent="0.2">
      <c r="B12" t="s">
        <v>8</v>
      </c>
      <c r="C12" s="25" cm="1">
        <f t="array" ref="C12">CalculateNAVcum(AE3:AE60,AF3:AF60,AG3:AG60,AH3:AH60,AG47,AG51)</f>
        <v>8.6767895878524254E-3</v>
      </c>
      <c r="D12" s="45" cm="1">
        <f t="array" ref="D12">CalculateNAVTR(AE3:AE60,AF3:AF60,AG3:AG60,AH3:AH60,AG47,AG51)</f>
        <v>7.3611616422701864E-3</v>
      </c>
      <c r="E12" s="45"/>
      <c r="F12" s="45" cm="1">
        <f t="array" ref="F12">CalculateNAVTR(AE3:AE60,AF3:AF60,AG3:AG60,AH3:AH60,AG43,AG47)</f>
        <v>0.16346192018347128</v>
      </c>
      <c r="G12" s="45"/>
      <c r="H12" s="45" cm="1">
        <f t="array" ref="H12">CalculateNAVTR(AE3:AE60,AF3:AF60,AG3:AG60,AH3:AH60,AG39,AG43)</f>
        <v>4.4985973342639651E-2</v>
      </c>
      <c r="K12" s="4">
        <v>38082</v>
      </c>
      <c r="L12" s="5">
        <v>2.2000000000000002</v>
      </c>
      <c r="M12" s="6">
        <v>40543</v>
      </c>
      <c r="N12" s="28">
        <v>75.400000000000006</v>
      </c>
      <c r="O12" s="4">
        <v>41152</v>
      </c>
      <c r="P12" s="5">
        <v>1.75</v>
      </c>
      <c r="Q12" s="6">
        <v>40543</v>
      </c>
      <c r="R12" s="28">
        <v>87.2</v>
      </c>
      <c r="S12" s="4">
        <v>38660</v>
      </c>
      <c r="T12" s="5">
        <v>4</v>
      </c>
      <c r="U12" s="6">
        <v>40543</v>
      </c>
      <c r="V12" s="28">
        <v>87.6</v>
      </c>
      <c r="W12" s="4">
        <v>36910</v>
      </c>
      <c r="X12" s="5">
        <v>2.5</v>
      </c>
      <c r="Y12" s="6">
        <v>40543</v>
      </c>
      <c r="Z12" s="28">
        <v>78.430000000000007</v>
      </c>
      <c r="AA12" s="4">
        <v>37315</v>
      </c>
      <c r="AB12" s="5">
        <v>1.18</v>
      </c>
      <c r="AC12" s="6">
        <v>40543</v>
      </c>
      <c r="AD12" s="28">
        <v>34.68</v>
      </c>
      <c r="AE12" s="4">
        <v>36831</v>
      </c>
      <c r="AF12" s="5">
        <v>16.649999999999999</v>
      </c>
      <c r="AG12" s="6">
        <v>41364</v>
      </c>
      <c r="AH12" s="33">
        <f>18.8+0.5</f>
        <v>19.3</v>
      </c>
    </row>
    <row r="13" spans="2:34" x14ac:dyDescent="0.2">
      <c r="K13" s="4">
        <v>38275</v>
      </c>
      <c r="L13" s="5">
        <v>1.8</v>
      </c>
      <c r="M13" s="6">
        <v>40633</v>
      </c>
      <c r="N13" s="28">
        <f>73.7+2.5</f>
        <v>76.2</v>
      </c>
      <c r="O13" s="4">
        <v>41333</v>
      </c>
      <c r="P13" s="5">
        <v>1.75</v>
      </c>
      <c r="Q13" s="6">
        <v>40633</v>
      </c>
      <c r="R13" s="28">
        <v>87.1</v>
      </c>
      <c r="S13" s="4">
        <v>38863</v>
      </c>
      <c r="T13" s="5">
        <v>4</v>
      </c>
      <c r="U13" s="6">
        <v>40633</v>
      </c>
      <c r="V13" s="28">
        <f>86.1+2.5</f>
        <v>88.6</v>
      </c>
      <c r="W13" s="4">
        <v>37095</v>
      </c>
      <c r="X13" s="5">
        <v>5</v>
      </c>
      <c r="Y13" s="6">
        <v>40633</v>
      </c>
      <c r="Z13" s="28">
        <v>80.5</v>
      </c>
      <c r="AA13" s="4">
        <v>37459</v>
      </c>
      <c r="AB13" s="5">
        <v>2</v>
      </c>
      <c r="AC13" s="6">
        <v>40633</v>
      </c>
      <c r="AD13" s="28">
        <v>33</v>
      </c>
      <c r="AE13" s="4">
        <v>37043</v>
      </c>
      <c r="AF13" s="5">
        <v>1.35</v>
      </c>
      <c r="AG13" s="6">
        <v>41455</v>
      </c>
      <c r="AH13" s="33">
        <v>19.100000000000001</v>
      </c>
    </row>
    <row r="14" spans="2:34" x14ac:dyDescent="0.2">
      <c r="K14" s="4">
        <v>38443</v>
      </c>
      <c r="L14" s="5">
        <v>2.2000000000000002</v>
      </c>
      <c r="M14" s="6">
        <v>40724</v>
      </c>
      <c r="N14" s="28">
        <v>74.8</v>
      </c>
      <c r="O14" s="4">
        <v>41516</v>
      </c>
      <c r="P14" s="5">
        <v>2.5</v>
      </c>
      <c r="Q14" s="6">
        <v>40724</v>
      </c>
      <c r="R14" s="28">
        <f>86+1.5</f>
        <v>87.5</v>
      </c>
      <c r="S14" s="4">
        <v>39024</v>
      </c>
      <c r="T14" s="5">
        <v>4</v>
      </c>
      <c r="U14" s="6">
        <v>40724</v>
      </c>
      <c r="V14" s="28">
        <v>87.9</v>
      </c>
      <c r="W14" s="4">
        <v>37267</v>
      </c>
      <c r="X14" s="5">
        <v>2.6</v>
      </c>
      <c r="Y14" s="6">
        <v>40724</v>
      </c>
      <c r="Z14" s="28">
        <f>75.9+2.5</f>
        <v>78.400000000000006</v>
      </c>
      <c r="AA14" s="4">
        <v>37498</v>
      </c>
      <c r="AB14" s="5">
        <v>0.87</v>
      </c>
      <c r="AC14" s="6">
        <v>40724</v>
      </c>
      <c r="AD14" s="28">
        <v>33.65</v>
      </c>
      <c r="AE14" s="4">
        <v>38667</v>
      </c>
      <c r="AF14" s="5">
        <v>1.25</v>
      </c>
      <c r="AG14" s="6">
        <v>41547</v>
      </c>
      <c r="AH14" s="33">
        <v>18.8</v>
      </c>
    </row>
    <row r="15" spans="2:34" x14ac:dyDescent="0.2">
      <c r="K15" s="4">
        <v>38517</v>
      </c>
      <c r="L15" s="5">
        <v>1.8</v>
      </c>
      <c r="M15" s="6">
        <v>40816</v>
      </c>
      <c r="N15" s="28">
        <v>73.5</v>
      </c>
      <c r="O15" s="4">
        <v>41698</v>
      </c>
      <c r="P15" s="5">
        <v>2.5</v>
      </c>
      <c r="Q15" s="6">
        <v>40816</v>
      </c>
      <c r="R15" s="28">
        <v>85.4</v>
      </c>
      <c r="S15" s="4">
        <v>39227</v>
      </c>
      <c r="T15" s="5">
        <v>4</v>
      </c>
      <c r="U15" s="6">
        <v>40816</v>
      </c>
      <c r="V15" s="28">
        <f>84</f>
        <v>84</v>
      </c>
      <c r="W15" s="4">
        <v>37470</v>
      </c>
      <c r="X15" s="5">
        <v>4.9000000000000004</v>
      </c>
      <c r="Y15" s="6">
        <v>40816</v>
      </c>
      <c r="Z15" s="28">
        <v>79.5</v>
      </c>
      <c r="AA15" s="4">
        <v>37600</v>
      </c>
      <c r="AB15" s="5">
        <v>0.5</v>
      </c>
      <c r="AC15" s="6">
        <v>40816</v>
      </c>
      <c r="AD15" s="28">
        <f>31.7+1.25</f>
        <v>32.950000000000003</v>
      </c>
      <c r="AE15" s="4">
        <v>38901</v>
      </c>
      <c r="AF15" s="5">
        <v>2.5</v>
      </c>
      <c r="AG15" s="6">
        <v>41639</v>
      </c>
      <c r="AH15" s="33">
        <v>20.45</v>
      </c>
    </row>
    <row r="16" spans="2:34" x14ac:dyDescent="0.2">
      <c r="K16" s="4">
        <v>38709</v>
      </c>
      <c r="L16" s="5">
        <v>1.2</v>
      </c>
      <c r="M16" s="6">
        <v>40908</v>
      </c>
      <c r="N16" s="28">
        <v>75.5</v>
      </c>
      <c r="O16" s="4">
        <v>41880</v>
      </c>
      <c r="P16" s="5">
        <v>2.5</v>
      </c>
      <c r="Q16" s="6">
        <v>40908</v>
      </c>
      <c r="R16" s="28">
        <f>83+1.5</f>
        <v>84.5</v>
      </c>
      <c r="S16" s="4">
        <v>39388</v>
      </c>
      <c r="T16" s="5">
        <v>4</v>
      </c>
      <c r="U16" s="6">
        <v>40908</v>
      </c>
      <c r="V16" s="28">
        <v>85.1</v>
      </c>
      <c r="W16" s="4">
        <v>37650</v>
      </c>
      <c r="X16" s="5">
        <v>2.8</v>
      </c>
      <c r="Y16" s="6">
        <v>40908</v>
      </c>
      <c r="Z16" s="28">
        <v>79.2</v>
      </c>
      <c r="AA16" s="4">
        <v>37820</v>
      </c>
      <c r="AB16" s="5">
        <v>4.26</v>
      </c>
      <c r="AC16" s="6">
        <v>40908</v>
      </c>
      <c r="AD16" s="28">
        <v>32.86</v>
      </c>
      <c r="AE16" s="4">
        <v>39073</v>
      </c>
      <c r="AF16" s="5">
        <v>1.41</v>
      </c>
      <c r="AG16" s="6">
        <v>41729</v>
      </c>
      <c r="AH16" s="33">
        <f>20.2+0.5</f>
        <v>20.7</v>
      </c>
    </row>
    <row r="17" spans="11:34" x14ac:dyDescent="0.2">
      <c r="K17" s="4">
        <v>38887</v>
      </c>
      <c r="L17" s="5">
        <v>1</v>
      </c>
      <c r="M17" s="6">
        <v>40999</v>
      </c>
      <c r="N17" s="28">
        <f>74.2+2.5</f>
        <v>76.7</v>
      </c>
      <c r="O17" s="4">
        <v>42062</v>
      </c>
      <c r="P17" s="5">
        <v>2.5</v>
      </c>
      <c r="Q17" s="6">
        <v>40999</v>
      </c>
      <c r="R17" s="28">
        <v>84.9</v>
      </c>
      <c r="S17" s="4">
        <v>39598</v>
      </c>
      <c r="T17" s="5">
        <v>4</v>
      </c>
      <c r="U17" s="6">
        <v>40999</v>
      </c>
      <c r="V17" s="28">
        <f>83.4+2.5</f>
        <v>85.9</v>
      </c>
      <c r="W17" s="4">
        <v>37831</v>
      </c>
      <c r="X17" s="5">
        <v>5.2</v>
      </c>
      <c r="Y17" s="6">
        <v>40999</v>
      </c>
      <c r="Z17" s="28">
        <v>78</v>
      </c>
      <c r="AA17" s="4">
        <v>37820</v>
      </c>
      <c r="AB17" s="5">
        <v>1.1000000000000001</v>
      </c>
      <c r="AC17" s="6">
        <v>40999</v>
      </c>
      <c r="AD17" s="28">
        <v>32.6</v>
      </c>
      <c r="AE17" s="4">
        <v>39162</v>
      </c>
      <c r="AF17" s="5">
        <v>2.81</v>
      </c>
      <c r="AG17" s="6">
        <v>41820</v>
      </c>
      <c r="AH17" s="33">
        <v>19.98</v>
      </c>
    </row>
    <row r="18" spans="11:34" x14ac:dyDescent="0.2">
      <c r="K18" s="4">
        <v>39072</v>
      </c>
      <c r="L18" s="5">
        <v>2</v>
      </c>
      <c r="M18" s="6">
        <v>41090</v>
      </c>
      <c r="N18" s="28">
        <v>73.900000000000006</v>
      </c>
      <c r="O18" s="4">
        <v>42244</v>
      </c>
      <c r="P18" s="5">
        <v>2.5</v>
      </c>
      <c r="Q18" s="6">
        <v>41090</v>
      </c>
      <c r="R18" s="28">
        <f>83.5+1.75</f>
        <v>85.25</v>
      </c>
      <c r="S18" s="4">
        <v>39724</v>
      </c>
      <c r="T18" s="5">
        <v>4</v>
      </c>
      <c r="U18" s="6">
        <v>41090</v>
      </c>
      <c r="V18" s="28">
        <v>83.3</v>
      </c>
      <c r="W18" s="4">
        <v>38014</v>
      </c>
      <c r="X18" s="5">
        <v>3</v>
      </c>
      <c r="Y18" s="6">
        <v>41090</v>
      </c>
      <c r="Z18" s="28">
        <f>75.9+2.5</f>
        <v>78.400000000000006</v>
      </c>
      <c r="AA18" s="4">
        <v>38184</v>
      </c>
      <c r="AB18" s="5">
        <v>1.8</v>
      </c>
      <c r="AC18" s="6">
        <v>41090</v>
      </c>
      <c r="AD18" s="28">
        <v>32.6</v>
      </c>
      <c r="AE18" s="4">
        <v>39423</v>
      </c>
      <c r="AF18" s="5">
        <v>1.41</v>
      </c>
      <c r="AG18" s="6">
        <v>41912</v>
      </c>
      <c r="AH18" s="33">
        <v>19.920000000000002</v>
      </c>
    </row>
    <row r="19" spans="11:34" x14ac:dyDescent="0.2">
      <c r="K19" s="4">
        <v>39211</v>
      </c>
      <c r="L19" s="5">
        <v>1.5</v>
      </c>
      <c r="M19" s="6">
        <v>41182</v>
      </c>
      <c r="N19" s="28">
        <v>72</v>
      </c>
      <c r="O19" s="4">
        <v>42429</v>
      </c>
      <c r="P19" s="5">
        <v>2.5</v>
      </c>
      <c r="Q19" s="6">
        <v>41182</v>
      </c>
      <c r="R19" s="28">
        <v>84.6</v>
      </c>
      <c r="S19" s="4">
        <v>39812</v>
      </c>
      <c r="T19" s="5">
        <v>8</v>
      </c>
      <c r="U19" s="6">
        <v>41182</v>
      </c>
      <c r="V19" s="28">
        <f>81.7+2.5</f>
        <v>84.2</v>
      </c>
      <c r="W19" s="4">
        <v>38135</v>
      </c>
      <c r="X19" s="5">
        <v>3.75</v>
      </c>
      <c r="Y19" s="6">
        <v>41182</v>
      </c>
      <c r="Z19" s="28">
        <v>76</v>
      </c>
      <c r="AA19" s="4">
        <v>38247</v>
      </c>
      <c r="AB19" s="5">
        <v>0.2</v>
      </c>
      <c r="AC19" s="6">
        <v>41182</v>
      </c>
      <c r="AD19" s="28">
        <f>31.87+1.25</f>
        <v>33.120000000000005</v>
      </c>
      <c r="AE19" s="4">
        <v>39736</v>
      </c>
      <c r="AF19" s="5">
        <v>2.81</v>
      </c>
      <c r="AG19" s="6">
        <v>42004</v>
      </c>
      <c r="AH19" s="33">
        <v>19.309999999999999</v>
      </c>
    </row>
    <row r="20" spans="11:34" x14ac:dyDescent="0.2">
      <c r="K20" s="4">
        <v>39360</v>
      </c>
      <c r="L20" s="5">
        <v>3.5</v>
      </c>
      <c r="M20" s="6">
        <v>41274</v>
      </c>
      <c r="N20" s="28">
        <v>74</v>
      </c>
      <c r="O20" s="4">
        <v>42613</v>
      </c>
      <c r="P20" s="5">
        <v>2.5</v>
      </c>
      <c r="Q20" s="6">
        <v>41274</v>
      </c>
      <c r="R20" s="28">
        <f>87.2+1.75</f>
        <v>88.95</v>
      </c>
      <c r="S20" s="4">
        <v>40319</v>
      </c>
      <c r="T20" s="5">
        <v>4</v>
      </c>
      <c r="U20" s="6">
        <v>41274</v>
      </c>
      <c r="V20" s="28">
        <v>84</v>
      </c>
      <c r="W20" s="4">
        <v>38195</v>
      </c>
      <c r="X20" s="5">
        <v>1.75</v>
      </c>
      <c r="Y20" s="6">
        <v>41274</v>
      </c>
      <c r="Z20" s="28">
        <v>74.400000000000006</v>
      </c>
      <c r="AA20" s="4">
        <v>38604</v>
      </c>
      <c r="AB20" s="5">
        <v>1</v>
      </c>
      <c r="AC20" s="6">
        <v>41274</v>
      </c>
      <c r="AD20" s="28">
        <v>32.24</v>
      </c>
      <c r="AE20" s="4">
        <v>40340</v>
      </c>
      <c r="AF20" s="5">
        <v>4</v>
      </c>
      <c r="AG20" s="6">
        <v>42094</v>
      </c>
      <c r="AH20" s="33">
        <v>20.14</v>
      </c>
    </row>
    <row r="21" spans="11:34" x14ac:dyDescent="0.2">
      <c r="K21" s="4">
        <v>39584</v>
      </c>
      <c r="L21" s="8">
        <v>2.5</v>
      </c>
      <c r="M21" s="6">
        <v>41364</v>
      </c>
      <c r="N21" s="28">
        <f>73.9+2.5</f>
        <v>76.400000000000006</v>
      </c>
      <c r="O21" s="4">
        <v>42794</v>
      </c>
      <c r="P21" s="8">
        <v>2.5</v>
      </c>
      <c r="Q21" s="6">
        <v>41364</v>
      </c>
      <c r="R21" s="28">
        <v>92.9</v>
      </c>
      <c r="S21" s="4">
        <v>40480</v>
      </c>
      <c r="T21" s="8">
        <v>4</v>
      </c>
      <c r="U21" s="6">
        <v>41364</v>
      </c>
      <c r="V21" s="28">
        <f>83+2.5</f>
        <v>85.5</v>
      </c>
      <c r="W21" s="4">
        <v>38359</v>
      </c>
      <c r="X21" s="8">
        <v>4.25</v>
      </c>
      <c r="Y21" s="6">
        <v>41364</v>
      </c>
      <c r="Z21" s="28">
        <v>74.2</v>
      </c>
      <c r="AA21" s="4">
        <v>38982</v>
      </c>
      <c r="AB21" s="8">
        <v>1.25</v>
      </c>
      <c r="AC21" s="6">
        <v>41364</v>
      </c>
      <c r="AD21" s="28">
        <v>31.68</v>
      </c>
      <c r="AE21" s="4">
        <v>40445</v>
      </c>
      <c r="AF21" s="8">
        <v>1</v>
      </c>
      <c r="AG21" s="6">
        <v>42185</v>
      </c>
      <c r="AH21" s="33">
        <v>19.899999999999999</v>
      </c>
    </row>
    <row r="22" spans="11:34" x14ac:dyDescent="0.2">
      <c r="K22" s="4">
        <v>39724</v>
      </c>
      <c r="L22" s="8">
        <v>5.5</v>
      </c>
      <c r="M22" s="6">
        <v>41455</v>
      </c>
      <c r="N22" s="28">
        <v>74.599999999999994</v>
      </c>
      <c r="O22" s="4">
        <v>42978</v>
      </c>
      <c r="P22" s="8">
        <v>2.5</v>
      </c>
      <c r="Q22" s="6">
        <v>41455</v>
      </c>
      <c r="R22" s="28">
        <v>95</v>
      </c>
      <c r="S22" s="4">
        <v>40661</v>
      </c>
      <c r="T22" s="8">
        <v>2.5</v>
      </c>
      <c r="U22" s="6">
        <v>41455</v>
      </c>
      <c r="V22" s="28">
        <v>84.6</v>
      </c>
      <c r="W22" s="4">
        <v>38547</v>
      </c>
      <c r="X22" s="8">
        <v>4.75</v>
      </c>
      <c r="Y22" s="6">
        <v>41455</v>
      </c>
      <c r="Z22" s="28">
        <f>72+2.5</f>
        <v>74.5</v>
      </c>
      <c r="AA22" s="4">
        <v>39101</v>
      </c>
      <c r="AB22" s="8">
        <v>1.25</v>
      </c>
      <c r="AC22" s="6">
        <v>41455</v>
      </c>
      <c r="AD22" s="28">
        <v>32.26</v>
      </c>
      <c r="AE22" s="4">
        <v>40718</v>
      </c>
      <c r="AF22" s="8">
        <v>0.67</v>
      </c>
      <c r="AG22" s="6">
        <v>42277</v>
      </c>
      <c r="AH22" s="33">
        <v>20.21</v>
      </c>
    </row>
    <row r="23" spans="11:34" x14ac:dyDescent="0.2">
      <c r="K23" s="4">
        <v>39812</v>
      </c>
      <c r="L23" s="8">
        <v>4</v>
      </c>
      <c r="M23" s="6">
        <v>41547</v>
      </c>
      <c r="N23" s="28">
        <v>72.900000000000006</v>
      </c>
      <c r="O23" s="4">
        <v>43159</v>
      </c>
      <c r="P23" s="8">
        <v>2.5</v>
      </c>
      <c r="Q23" s="6">
        <v>41547</v>
      </c>
      <c r="R23" s="28">
        <v>95.4</v>
      </c>
      <c r="S23" s="4">
        <v>40844</v>
      </c>
      <c r="T23" s="8">
        <v>2.5</v>
      </c>
      <c r="U23" s="6">
        <v>41547</v>
      </c>
      <c r="V23" s="28">
        <f>83.6+2.5</f>
        <v>86.1</v>
      </c>
      <c r="W23" s="4">
        <v>38737</v>
      </c>
      <c r="X23" s="8">
        <v>4.5</v>
      </c>
      <c r="Y23" s="6">
        <v>41547</v>
      </c>
      <c r="Z23" s="28">
        <v>73</v>
      </c>
      <c r="AA23" s="4">
        <v>39248</v>
      </c>
      <c r="AB23" s="8">
        <v>0.8</v>
      </c>
      <c r="AC23" s="6">
        <v>41547</v>
      </c>
      <c r="AD23" s="28">
        <f>31.74+1.25</f>
        <v>32.989999999999995</v>
      </c>
      <c r="AE23" s="4">
        <v>41054</v>
      </c>
      <c r="AF23" s="8">
        <v>0.5</v>
      </c>
      <c r="AG23" s="6">
        <v>42369</v>
      </c>
      <c r="AH23" s="33">
        <v>20.11</v>
      </c>
    </row>
    <row r="24" spans="11:34" x14ac:dyDescent="0.2">
      <c r="K24" s="4">
        <v>40081</v>
      </c>
      <c r="L24" s="8">
        <v>4</v>
      </c>
      <c r="M24" s="6">
        <v>41639</v>
      </c>
      <c r="N24" s="28">
        <v>74.099999999999994</v>
      </c>
      <c r="O24" s="4">
        <v>43343</v>
      </c>
      <c r="P24" s="8">
        <v>3</v>
      </c>
      <c r="Q24" s="6">
        <v>41639</v>
      </c>
      <c r="R24" s="28">
        <v>98</v>
      </c>
      <c r="S24" s="4">
        <v>41029</v>
      </c>
      <c r="T24" s="8">
        <v>2.5</v>
      </c>
      <c r="U24" s="6">
        <v>41639</v>
      </c>
      <c r="V24" s="28">
        <v>85.75</v>
      </c>
      <c r="W24" s="4">
        <v>38807</v>
      </c>
      <c r="X24" s="8">
        <v>2.5</v>
      </c>
      <c r="Y24" s="6">
        <v>41639</v>
      </c>
      <c r="Z24" s="28">
        <v>70.900000000000006</v>
      </c>
      <c r="AA24" s="4">
        <v>39444</v>
      </c>
      <c r="AB24" s="8">
        <v>1.25</v>
      </c>
      <c r="AC24" s="6">
        <v>41639</v>
      </c>
      <c r="AD24" s="28">
        <v>32.159999999999997</v>
      </c>
      <c r="AE24" s="4">
        <v>41180</v>
      </c>
      <c r="AF24" s="8">
        <v>0.5</v>
      </c>
      <c r="AG24" s="6">
        <v>42460</v>
      </c>
      <c r="AH24" s="33">
        <v>19.96</v>
      </c>
    </row>
    <row r="25" spans="11:34" x14ac:dyDescent="0.2">
      <c r="K25" s="4">
        <v>40302</v>
      </c>
      <c r="L25" s="8">
        <v>4</v>
      </c>
      <c r="M25" s="6">
        <v>41729</v>
      </c>
      <c r="N25" s="28">
        <f>72.2+2.5</f>
        <v>74.7</v>
      </c>
      <c r="O25" s="4">
        <v>43524</v>
      </c>
      <c r="P25" s="9">
        <v>3</v>
      </c>
      <c r="Q25" s="6">
        <v>41729</v>
      </c>
      <c r="R25" s="28">
        <v>96.9</v>
      </c>
      <c r="S25" s="4">
        <v>41213</v>
      </c>
      <c r="T25" s="8">
        <v>2.5</v>
      </c>
      <c r="U25" s="6">
        <v>41729</v>
      </c>
      <c r="V25" s="28">
        <f>82.3+1.25</f>
        <v>83.55</v>
      </c>
      <c r="W25" s="4">
        <v>38933</v>
      </c>
      <c r="X25" s="8">
        <v>5</v>
      </c>
      <c r="Y25" s="6">
        <v>41729</v>
      </c>
      <c r="Z25" s="28">
        <v>71.3</v>
      </c>
      <c r="AA25" s="4">
        <v>39563</v>
      </c>
      <c r="AB25" s="8">
        <v>1.25</v>
      </c>
      <c r="AC25" s="6">
        <v>41729</v>
      </c>
      <c r="AD25" s="28">
        <v>31.07</v>
      </c>
      <c r="AE25" s="4">
        <v>41425</v>
      </c>
      <c r="AF25" s="8">
        <v>0.5</v>
      </c>
      <c r="AG25" s="6">
        <v>42551</v>
      </c>
      <c r="AH25" s="33">
        <v>19.66</v>
      </c>
    </row>
    <row r="26" spans="11:34" x14ac:dyDescent="0.2">
      <c r="K26" s="4">
        <v>40451</v>
      </c>
      <c r="L26" s="8">
        <v>4</v>
      </c>
      <c r="M26" s="6">
        <v>41820</v>
      </c>
      <c r="N26" s="28">
        <v>73.3</v>
      </c>
      <c r="O26" s="4">
        <v>43707</v>
      </c>
      <c r="P26" s="8">
        <v>3</v>
      </c>
      <c r="Q26" s="6">
        <v>41820</v>
      </c>
      <c r="R26" s="28">
        <v>97.23</v>
      </c>
      <c r="S26" s="4">
        <v>41394</v>
      </c>
      <c r="T26" s="8">
        <v>2.5</v>
      </c>
      <c r="U26" s="6">
        <v>41820</v>
      </c>
      <c r="V26" s="28">
        <v>82.01</v>
      </c>
      <c r="W26" s="4">
        <v>39087</v>
      </c>
      <c r="X26" s="8">
        <v>5</v>
      </c>
      <c r="Y26" s="6">
        <v>41820</v>
      </c>
      <c r="Z26" s="28">
        <f>69.31+2.5</f>
        <v>71.81</v>
      </c>
      <c r="AA26" s="4">
        <v>39668</v>
      </c>
      <c r="AB26" s="8">
        <v>1.25</v>
      </c>
      <c r="AC26" s="6">
        <v>41820</v>
      </c>
      <c r="AD26" s="28">
        <v>32.04</v>
      </c>
      <c r="AE26" s="4">
        <v>41547</v>
      </c>
      <c r="AF26" s="8">
        <v>0.5</v>
      </c>
      <c r="AG26" s="6">
        <v>42643</v>
      </c>
      <c r="AH26" s="33">
        <v>20.94</v>
      </c>
    </row>
    <row r="27" spans="11:34" x14ac:dyDescent="0.2">
      <c r="K27" s="4">
        <v>40694</v>
      </c>
      <c r="L27" s="8">
        <v>2.5</v>
      </c>
      <c r="M27" s="6">
        <v>41912</v>
      </c>
      <c r="N27" s="28">
        <v>71.36</v>
      </c>
      <c r="O27" s="4">
        <v>43889</v>
      </c>
      <c r="P27" s="8">
        <v>3</v>
      </c>
      <c r="Q27" s="6">
        <v>41912</v>
      </c>
      <c r="R27" s="28">
        <v>95.67</v>
      </c>
      <c r="S27" s="4">
        <v>41578</v>
      </c>
      <c r="T27" s="8">
        <v>2.5</v>
      </c>
      <c r="U27" s="6">
        <v>41912</v>
      </c>
      <c r="V27" s="28">
        <v>82.19</v>
      </c>
      <c r="W27" s="4">
        <v>39177</v>
      </c>
      <c r="X27" s="8">
        <v>5</v>
      </c>
      <c r="Y27" s="6">
        <v>41912</v>
      </c>
      <c r="Z27" s="28">
        <v>69.92</v>
      </c>
      <c r="AA27" s="4">
        <v>39920</v>
      </c>
      <c r="AB27" s="8">
        <v>1.25</v>
      </c>
      <c r="AC27" s="6">
        <v>41912</v>
      </c>
      <c r="AD27" s="28">
        <v>32.4</v>
      </c>
      <c r="AE27" s="4">
        <v>41759</v>
      </c>
      <c r="AF27" s="8">
        <v>0.5</v>
      </c>
      <c r="AG27" s="6">
        <v>42735</v>
      </c>
      <c r="AH27" s="33">
        <v>21.41</v>
      </c>
    </row>
    <row r="28" spans="11:34" x14ac:dyDescent="0.2">
      <c r="K28" s="4">
        <v>40816</v>
      </c>
      <c r="L28" s="8">
        <v>2.5</v>
      </c>
      <c r="M28" s="6">
        <v>42004</v>
      </c>
      <c r="N28" s="28">
        <v>73.099999999999994</v>
      </c>
      <c r="O28" s="4">
        <v>44071</v>
      </c>
      <c r="P28" s="8">
        <v>2.7</v>
      </c>
      <c r="Q28" s="6">
        <v>42004</v>
      </c>
      <c r="R28" s="28">
        <v>96.97</v>
      </c>
      <c r="S28" s="4">
        <v>41670</v>
      </c>
      <c r="T28" s="8">
        <v>1.25</v>
      </c>
      <c r="U28" s="6">
        <v>42004</v>
      </c>
      <c r="V28" s="28">
        <v>82.85</v>
      </c>
      <c r="W28" s="4">
        <v>39451</v>
      </c>
      <c r="X28" s="8">
        <v>5</v>
      </c>
      <c r="Y28" s="6">
        <v>42004</v>
      </c>
      <c r="Z28" s="28">
        <v>69.069999999999993</v>
      </c>
      <c r="AA28" s="4">
        <v>40123</v>
      </c>
      <c r="AB28" s="8">
        <v>1.25</v>
      </c>
      <c r="AC28" s="6">
        <v>42004</v>
      </c>
      <c r="AD28" s="28">
        <v>32.28</v>
      </c>
      <c r="AE28" s="4">
        <v>41943</v>
      </c>
      <c r="AF28" s="8">
        <v>0.5</v>
      </c>
      <c r="AG28" s="6">
        <v>42825</v>
      </c>
      <c r="AH28" s="33">
        <v>22.25</v>
      </c>
    </row>
    <row r="29" spans="11:34" x14ac:dyDescent="0.2">
      <c r="K29" s="4">
        <v>41060</v>
      </c>
      <c r="L29" s="8">
        <v>2.5</v>
      </c>
      <c r="M29" s="6">
        <v>42094</v>
      </c>
      <c r="N29" s="28">
        <v>74.25</v>
      </c>
      <c r="O29" s="4">
        <v>44253</v>
      </c>
      <c r="P29" s="8">
        <v>2.74</v>
      </c>
      <c r="Q29" s="6">
        <v>42094</v>
      </c>
      <c r="R29" s="28">
        <v>96.22</v>
      </c>
      <c r="S29" s="4">
        <v>41759</v>
      </c>
      <c r="T29" s="8">
        <v>1.25</v>
      </c>
      <c r="U29" s="6">
        <v>42094</v>
      </c>
      <c r="V29" s="28">
        <v>80.44</v>
      </c>
      <c r="W29" s="4">
        <v>39675</v>
      </c>
      <c r="X29" s="8">
        <v>5</v>
      </c>
      <c r="Y29" s="6">
        <v>42094</v>
      </c>
      <c r="Z29" s="28">
        <v>71.599999999999994</v>
      </c>
      <c r="AA29" s="4">
        <v>40277</v>
      </c>
      <c r="AB29" s="8">
        <v>1.25</v>
      </c>
      <c r="AC29" s="6">
        <v>42094</v>
      </c>
      <c r="AD29" s="28">
        <v>30.98</v>
      </c>
      <c r="AE29" s="4">
        <v>42124</v>
      </c>
      <c r="AF29" s="8">
        <v>0.5</v>
      </c>
      <c r="AG29" s="6">
        <v>42916</v>
      </c>
      <c r="AH29" s="33">
        <v>21.81</v>
      </c>
    </row>
    <row r="30" spans="11:34" x14ac:dyDescent="0.2">
      <c r="K30" s="4">
        <v>41180</v>
      </c>
      <c r="L30" s="8">
        <v>2.5</v>
      </c>
      <c r="M30" s="6">
        <v>42185</v>
      </c>
      <c r="N30" s="28">
        <v>73.7</v>
      </c>
      <c r="O30" s="4">
        <v>44436</v>
      </c>
      <c r="P30" s="8">
        <v>2.87</v>
      </c>
      <c r="Q30" s="6">
        <v>42185</v>
      </c>
      <c r="R30" s="28">
        <v>99.01</v>
      </c>
      <c r="S30" s="4">
        <v>41820</v>
      </c>
      <c r="T30" s="8">
        <v>1.25</v>
      </c>
      <c r="U30" s="6">
        <v>42185</v>
      </c>
      <c r="V30" s="28">
        <v>79.19</v>
      </c>
      <c r="W30" s="4">
        <v>39822</v>
      </c>
      <c r="X30" s="8">
        <v>5</v>
      </c>
      <c r="Y30" s="6">
        <v>42185</v>
      </c>
      <c r="Z30" s="28">
        <v>72.3</v>
      </c>
      <c r="AA30" s="4">
        <v>40512</v>
      </c>
      <c r="AB30" s="8">
        <v>1.25</v>
      </c>
      <c r="AC30" s="6">
        <v>42185</v>
      </c>
      <c r="AD30" s="28">
        <v>30.97</v>
      </c>
      <c r="AE30" s="4">
        <v>42307</v>
      </c>
      <c r="AF30" s="8">
        <v>0.5</v>
      </c>
      <c r="AG30" s="6">
        <v>43008</v>
      </c>
      <c r="AH30" s="33">
        <v>21.76</v>
      </c>
    </row>
    <row r="31" spans="11:34" x14ac:dyDescent="0.2">
      <c r="K31" s="4">
        <v>41425</v>
      </c>
      <c r="L31" s="8">
        <v>2.5</v>
      </c>
      <c r="M31" s="6">
        <v>42277</v>
      </c>
      <c r="N31" s="28">
        <v>71.3</v>
      </c>
      <c r="O31" s="4">
        <v>44620</v>
      </c>
      <c r="P31" s="8">
        <v>3.22</v>
      </c>
      <c r="Q31" s="6">
        <v>42277</v>
      </c>
      <c r="R31" s="28">
        <v>97.68</v>
      </c>
      <c r="S31" s="4">
        <v>41943</v>
      </c>
      <c r="T31" s="8">
        <v>1.25</v>
      </c>
      <c r="U31" s="6">
        <v>42277</v>
      </c>
      <c r="V31" s="28">
        <v>78.36</v>
      </c>
      <c r="W31" s="4">
        <v>40024</v>
      </c>
      <c r="X31" s="8">
        <v>2.5</v>
      </c>
      <c r="Y31" s="6">
        <v>42277</v>
      </c>
      <c r="Z31" s="28">
        <v>72.650000000000006</v>
      </c>
      <c r="AA31" s="4">
        <v>40633</v>
      </c>
      <c r="AB31" s="8">
        <v>1.25</v>
      </c>
      <c r="AC31" s="6">
        <v>42277</v>
      </c>
      <c r="AD31" s="28">
        <v>31.57</v>
      </c>
      <c r="AE31" s="4">
        <v>42489</v>
      </c>
      <c r="AF31" s="8">
        <v>0.5</v>
      </c>
      <c r="AG31" s="6">
        <v>43100</v>
      </c>
      <c r="AH31" s="33">
        <v>21.6</v>
      </c>
    </row>
    <row r="32" spans="11:34" x14ac:dyDescent="0.2">
      <c r="K32" s="4">
        <v>41547</v>
      </c>
      <c r="L32" s="8">
        <v>2.5</v>
      </c>
      <c r="M32" s="6">
        <v>42369</v>
      </c>
      <c r="N32" s="28">
        <v>71.099999999999994</v>
      </c>
      <c r="O32" s="4">
        <v>44804</v>
      </c>
      <c r="P32" s="9">
        <v>3.31</v>
      </c>
      <c r="Q32" s="6">
        <v>42369</v>
      </c>
      <c r="R32" s="28">
        <v>98.21</v>
      </c>
      <c r="S32" s="4">
        <v>42044</v>
      </c>
      <c r="T32" s="8">
        <v>1.25</v>
      </c>
      <c r="U32" s="6">
        <v>42369</v>
      </c>
      <c r="V32" s="28">
        <v>73.92</v>
      </c>
      <c r="W32" s="4">
        <v>40184</v>
      </c>
      <c r="X32" s="8">
        <v>2.5</v>
      </c>
      <c r="Y32" s="6">
        <v>42369</v>
      </c>
      <c r="Z32" s="28">
        <v>70.56</v>
      </c>
      <c r="AA32" s="4">
        <v>40877</v>
      </c>
      <c r="AB32" s="8">
        <v>1.25</v>
      </c>
      <c r="AC32" s="6">
        <v>42369</v>
      </c>
      <c r="AD32" s="28">
        <v>30.26</v>
      </c>
      <c r="AE32" s="4">
        <v>42674</v>
      </c>
      <c r="AF32" s="8">
        <v>0.5</v>
      </c>
      <c r="AG32" s="6">
        <v>43190</v>
      </c>
      <c r="AH32" s="33">
        <v>22.69</v>
      </c>
    </row>
    <row r="33" spans="11:34" x14ac:dyDescent="0.2">
      <c r="K33" s="4">
        <v>41789</v>
      </c>
      <c r="L33" s="8">
        <v>2.5</v>
      </c>
      <c r="M33" s="6">
        <v>42460</v>
      </c>
      <c r="N33" s="28">
        <v>71.099999999999994</v>
      </c>
      <c r="O33" s="4"/>
      <c r="P33" s="8"/>
      <c r="Q33" s="6">
        <v>42460</v>
      </c>
      <c r="R33" s="28">
        <v>96.41</v>
      </c>
      <c r="S33" s="4">
        <v>42124</v>
      </c>
      <c r="T33" s="8">
        <v>1.25</v>
      </c>
      <c r="U33" s="6">
        <v>42460</v>
      </c>
      <c r="V33" s="28">
        <v>72.08</v>
      </c>
      <c r="W33" s="4">
        <v>40354</v>
      </c>
      <c r="X33" s="8">
        <v>2.5</v>
      </c>
      <c r="Y33" s="6">
        <v>42460</v>
      </c>
      <c r="Z33" s="28">
        <v>72</v>
      </c>
      <c r="AA33" s="4">
        <v>40999</v>
      </c>
      <c r="AB33" s="8">
        <v>1.25</v>
      </c>
      <c r="AC33" s="6">
        <v>42460</v>
      </c>
      <c r="AD33" s="28">
        <v>29.08</v>
      </c>
      <c r="AE33" s="4">
        <v>42853</v>
      </c>
      <c r="AF33" s="8">
        <v>0.5</v>
      </c>
      <c r="AG33" s="6">
        <v>43281</v>
      </c>
      <c r="AH33" s="33">
        <v>22.74</v>
      </c>
    </row>
    <row r="34" spans="11:34" x14ac:dyDescent="0.2">
      <c r="K34" s="4">
        <v>41912</v>
      </c>
      <c r="L34" s="5">
        <v>2.5</v>
      </c>
      <c r="M34" s="6">
        <v>42551</v>
      </c>
      <c r="N34" s="28">
        <v>69.3</v>
      </c>
      <c r="O34" s="4"/>
      <c r="P34" s="5"/>
      <c r="Q34" s="6">
        <v>42551</v>
      </c>
      <c r="R34" s="28">
        <v>97.16</v>
      </c>
      <c r="S34" s="4">
        <v>42185</v>
      </c>
      <c r="T34" s="5">
        <v>1.25</v>
      </c>
      <c r="U34" s="6">
        <v>42551</v>
      </c>
      <c r="V34" s="28">
        <v>69.22</v>
      </c>
      <c r="W34" s="4">
        <v>40542</v>
      </c>
      <c r="X34" s="5">
        <v>2.5</v>
      </c>
      <c r="Y34" s="6">
        <v>42551</v>
      </c>
      <c r="Z34" s="28">
        <v>72.3</v>
      </c>
      <c r="AA34" s="4">
        <v>41243</v>
      </c>
      <c r="AB34" s="5">
        <v>1.25</v>
      </c>
      <c r="AC34" s="6">
        <v>42551</v>
      </c>
      <c r="AD34" s="28">
        <v>28.94</v>
      </c>
      <c r="AE34" s="4">
        <v>43039</v>
      </c>
      <c r="AF34" s="5">
        <v>0.5</v>
      </c>
      <c r="AG34" s="6">
        <v>43373</v>
      </c>
      <c r="AH34" s="33">
        <v>22.81</v>
      </c>
    </row>
    <row r="35" spans="11:34" x14ac:dyDescent="0.2">
      <c r="K35" s="4">
        <v>42153</v>
      </c>
      <c r="L35" s="5">
        <v>2.5</v>
      </c>
      <c r="M35" s="6">
        <v>42643</v>
      </c>
      <c r="N35" s="28">
        <v>68.900000000000006</v>
      </c>
      <c r="O35" s="4"/>
      <c r="P35" s="5"/>
      <c r="Q35" s="6">
        <v>42643</v>
      </c>
      <c r="R35" s="28">
        <v>97.39</v>
      </c>
      <c r="S35" s="4">
        <v>42307</v>
      </c>
      <c r="T35" s="5">
        <v>1.25</v>
      </c>
      <c r="U35" s="6">
        <v>42643</v>
      </c>
      <c r="V35" s="28">
        <v>71</v>
      </c>
      <c r="W35" s="4">
        <v>40753</v>
      </c>
      <c r="X35" s="5">
        <v>2.5</v>
      </c>
      <c r="Y35" s="6">
        <v>42643</v>
      </c>
      <c r="Z35" s="28">
        <v>72.900000000000006</v>
      </c>
      <c r="AA35" s="4">
        <v>41361</v>
      </c>
      <c r="AB35" s="5">
        <v>1.25</v>
      </c>
      <c r="AC35" s="6">
        <v>42643</v>
      </c>
      <c r="AD35" s="28">
        <v>30.7</v>
      </c>
      <c r="AE35" s="4">
        <v>43220</v>
      </c>
      <c r="AF35" s="5">
        <v>0.6</v>
      </c>
      <c r="AG35" s="6">
        <v>43465</v>
      </c>
      <c r="AH35" s="33">
        <v>22.78</v>
      </c>
    </row>
    <row r="36" spans="11:34" x14ac:dyDescent="0.2">
      <c r="K36" s="4">
        <v>42277</v>
      </c>
      <c r="L36" s="5">
        <v>2.5</v>
      </c>
      <c r="M36" s="6">
        <v>42735</v>
      </c>
      <c r="N36" s="28">
        <v>70.7</v>
      </c>
      <c r="O36" s="4"/>
      <c r="P36" s="5"/>
      <c r="Q36" s="6">
        <v>42735</v>
      </c>
      <c r="R36" s="28">
        <v>99.94</v>
      </c>
      <c r="S36" s="4">
        <v>42398</v>
      </c>
      <c r="T36" s="5">
        <v>1.25</v>
      </c>
      <c r="U36" s="6">
        <v>42735</v>
      </c>
      <c r="V36" s="28">
        <v>71.599999999999994</v>
      </c>
      <c r="W36" s="4">
        <v>40907</v>
      </c>
      <c r="X36" s="5">
        <v>2.5</v>
      </c>
      <c r="Y36" s="6">
        <v>42735</v>
      </c>
      <c r="Z36" s="28">
        <v>73</v>
      </c>
      <c r="AA36" s="4">
        <v>41607</v>
      </c>
      <c r="AB36" s="5">
        <v>1.25</v>
      </c>
      <c r="AC36" s="6">
        <v>42735</v>
      </c>
      <c r="AD36" s="28">
        <v>30.84</v>
      </c>
      <c r="AE36" s="4">
        <v>43404</v>
      </c>
      <c r="AF36" s="5">
        <v>0.6</v>
      </c>
      <c r="AG36" s="6">
        <v>43555</v>
      </c>
      <c r="AH36" s="33">
        <v>23.38</v>
      </c>
    </row>
    <row r="37" spans="11:34" x14ac:dyDescent="0.2">
      <c r="K37" s="4">
        <v>42521</v>
      </c>
      <c r="L37" s="5">
        <v>2.5</v>
      </c>
      <c r="M37" s="6">
        <v>42825</v>
      </c>
      <c r="N37" s="28">
        <v>74</v>
      </c>
      <c r="O37" s="4"/>
      <c r="P37" s="5"/>
      <c r="Q37" s="6">
        <v>42825</v>
      </c>
      <c r="R37" s="28">
        <v>101.79</v>
      </c>
      <c r="S37" s="4">
        <v>42489</v>
      </c>
      <c r="T37" s="5">
        <v>1.25</v>
      </c>
      <c r="U37" s="6">
        <v>42825</v>
      </c>
      <c r="V37" s="28">
        <v>72.099999999999994</v>
      </c>
      <c r="W37" s="4">
        <v>41121</v>
      </c>
      <c r="X37" s="5">
        <v>2.5</v>
      </c>
      <c r="Y37" s="6">
        <v>42825</v>
      </c>
      <c r="Z37" s="28">
        <v>75.400000000000006</v>
      </c>
      <c r="AA37" s="4">
        <v>41729</v>
      </c>
      <c r="AB37" s="5">
        <v>1.25</v>
      </c>
      <c r="AC37" s="6">
        <v>42825</v>
      </c>
      <c r="AD37" s="28">
        <v>30.99</v>
      </c>
      <c r="AE37" s="4">
        <v>43585</v>
      </c>
      <c r="AF37" s="7">
        <v>0.6</v>
      </c>
      <c r="AG37" s="6">
        <v>43646</v>
      </c>
      <c r="AH37" s="33">
        <v>22.53</v>
      </c>
    </row>
    <row r="38" spans="11:34" x14ac:dyDescent="0.2">
      <c r="K38" s="4">
        <v>42643</v>
      </c>
      <c r="L38" s="5">
        <v>2.5</v>
      </c>
      <c r="M38" s="6">
        <v>42916</v>
      </c>
      <c r="N38" s="28">
        <v>71.3</v>
      </c>
      <c r="O38" s="4"/>
      <c r="P38" s="5"/>
      <c r="Q38" s="6">
        <v>42916</v>
      </c>
      <c r="R38" s="28">
        <v>100.78</v>
      </c>
      <c r="S38" s="4">
        <v>42551</v>
      </c>
      <c r="T38" s="5">
        <v>1.25</v>
      </c>
      <c r="U38" s="6">
        <v>42916</v>
      </c>
      <c r="V38" s="28">
        <v>71.5</v>
      </c>
      <c r="W38" s="4">
        <v>41273</v>
      </c>
      <c r="X38" s="5">
        <v>2.5</v>
      </c>
      <c r="Y38" s="6">
        <v>42916</v>
      </c>
      <c r="Z38" s="28">
        <v>75.7</v>
      </c>
      <c r="AA38" s="4">
        <v>41971</v>
      </c>
      <c r="AB38" s="5">
        <v>1.25</v>
      </c>
      <c r="AC38" s="6">
        <v>42916</v>
      </c>
      <c r="AD38" s="28">
        <v>30.98</v>
      </c>
      <c r="AE38" s="4">
        <v>43769</v>
      </c>
      <c r="AF38" s="5">
        <v>0.6</v>
      </c>
      <c r="AG38" s="6">
        <v>43738</v>
      </c>
      <c r="AH38" s="33">
        <v>22.64</v>
      </c>
    </row>
    <row r="39" spans="11:34" x14ac:dyDescent="0.2">
      <c r="K39" s="4">
        <v>42886</v>
      </c>
      <c r="L39" s="8">
        <v>2</v>
      </c>
      <c r="M39" s="6">
        <v>43008</v>
      </c>
      <c r="N39" s="28">
        <v>72.099999999999994</v>
      </c>
      <c r="O39" s="4"/>
      <c r="P39" s="8"/>
      <c r="Q39" s="6">
        <v>43008</v>
      </c>
      <c r="R39" s="28">
        <v>101.62</v>
      </c>
      <c r="S39" s="4">
        <v>42674</v>
      </c>
      <c r="T39" s="8">
        <v>1.25</v>
      </c>
      <c r="U39" s="6">
        <v>43008</v>
      </c>
      <c r="V39" s="28">
        <v>73.7</v>
      </c>
      <c r="W39" s="4">
        <v>41486</v>
      </c>
      <c r="X39" s="8">
        <v>2.5</v>
      </c>
      <c r="Y39" s="6">
        <v>43008</v>
      </c>
      <c r="Z39" s="28">
        <v>74.099999999999994</v>
      </c>
      <c r="AA39" s="4">
        <v>42094</v>
      </c>
      <c r="AB39" s="8">
        <v>1.25</v>
      </c>
      <c r="AC39" s="6">
        <v>43008</v>
      </c>
      <c r="AD39" s="28">
        <v>31.71</v>
      </c>
      <c r="AE39" s="4">
        <v>43951</v>
      </c>
      <c r="AF39" s="5">
        <v>0.6</v>
      </c>
      <c r="AG39" s="6">
        <v>43830</v>
      </c>
      <c r="AH39" s="33">
        <v>22.02</v>
      </c>
    </row>
    <row r="40" spans="11:34" x14ac:dyDescent="0.2">
      <c r="K40" s="4">
        <v>43007</v>
      </c>
      <c r="L40" s="8">
        <v>2</v>
      </c>
      <c r="M40" s="6">
        <v>43100</v>
      </c>
      <c r="N40" s="28">
        <v>73.8</v>
      </c>
      <c r="O40" s="4"/>
      <c r="P40" s="8"/>
      <c r="Q40" s="6">
        <v>43100</v>
      </c>
      <c r="R40" s="28">
        <v>103.88</v>
      </c>
      <c r="S40" s="4">
        <v>42766</v>
      </c>
      <c r="T40" s="8">
        <v>1</v>
      </c>
      <c r="U40" s="6">
        <v>43100</v>
      </c>
      <c r="V40" s="28">
        <v>71.900000000000006</v>
      </c>
      <c r="W40" s="4">
        <v>41638</v>
      </c>
      <c r="X40" s="8">
        <v>2.5</v>
      </c>
      <c r="Y40" s="6">
        <v>43100</v>
      </c>
      <c r="Z40" s="28">
        <v>74.5</v>
      </c>
      <c r="AA40" s="4">
        <v>42338</v>
      </c>
      <c r="AB40" s="8">
        <v>1.25</v>
      </c>
      <c r="AC40" s="6">
        <v>43100</v>
      </c>
      <c r="AD40" s="28">
        <v>31.47</v>
      </c>
      <c r="AE40" s="4">
        <v>44134</v>
      </c>
      <c r="AF40" s="8">
        <v>0.51</v>
      </c>
      <c r="AG40" s="6">
        <v>43921</v>
      </c>
      <c r="AH40" s="33">
        <v>19.79</v>
      </c>
    </row>
    <row r="41" spans="11:34" x14ac:dyDescent="0.2">
      <c r="K41" s="4">
        <v>43251</v>
      </c>
      <c r="L41" s="8">
        <v>2</v>
      </c>
      <c r="M41" s="6">
        <v>43190</v>
      </c>
      <c r="N41" s="28">
        <v>78.2</v>
      </c>
      <c r="O41" s="4"/>
      <c r="P41" s="8"/>
      <c r="Q41" s="6">
        <v>43190</v>
      </c>
      <c r="R41" s="28">
        <v>109.46</v>
      </c>
      <c r="S41" s="4">
        <v>42916</v>
      </c>
      <c r="T41" s="8">
        <v>1</v>
      </c>
      <c r="U41" s="6">
        <v>43190</v>
      </c>
      <c r="V41" s="28">
        <v>74.7</v>
      </c>
      <c r="W41" s="4">
        <v>41851</v>
      </c>
      <c r="X41" s="8">
        <v>2.5</v>
      </c>
      <c r="Y41" s="6">
        <v>43190</v>
      </c>
      <c r="Z41" s="28">
        <v>76</v>
      </c>
      <c r="AA41" s="4">
        <v>42460</v>
      </c>
      <c r="AB41" s="8">
        <v>1.25</v>
      </c>
      <c r="AC41" s="6">
        <v>43190</v>
      </c>
      <c r="AD41" s="28">
        <v>32.14</v>
      </c>
      <c r="AE41" s="4">
        <v>44316</v>
      </c>
      <c r="AF41" s="8">
        <v>0.6</v>
      </c>
      <c r="AG41" s="6">
        <v>44012</v>
      </c>
      <c r="AH41" s="33">
        <v>20.3</v>
      </c>
    </row>
    <row r="42" spans="11:34" x14ac:dyDescent="0.2">
      <c r="K42" s="4">
        <v>43371</v>
      </c>
      <c r="L42" s="9">
        <v>2</v>
      </c>
      <c r="M42" s="6">
        <v>43281</v>
      </c>
      <c r="N42" s="28">
        <v>80.900000000000006</v>
      </c>
      <c r="O42" s="4"/>
      <c r="P42" s="9"/>
      <c r="Q42" s="6">
        <v>43281</v>
      </c>
      <c r="R42" s="28">
        <v>113.24</v>
      </c>
      <c r="S42" s="4">
        <v>43098</v>
      </c>
      <c r="T42" s="8">
        <v>2</v>
      </c>
      <c r="U42" s="6">
        <v>43281</v>
      </c>
      <c r="V42" s="28">
        <v>75.900000000000006</v>
      </c>
      <c r="W42" s="4">
        <v>42003</v>
      </c>
      <c r="X42" s="8">
        <v>2.5</v>
      </c>
      <c r="Y42" s="6">
        <v>43281</v>
      </c>
      <c r="Z42" s="28">
        <v>76.5</v>
      </c>
      <c r="AA42" s="4">
        <v>42704</v>
      </c>
      <c r="AB42" s="8">
        <v>1</v>
      </c>
      <c r="AC42" s="6">
        <v>43281</v>
      </c>
      <c r="AD42" s="28">
        <v>33.5</v>
      </c>
      <c r="AE42" s="4">
        <v>44500</v>
      </c>
      <c r="AF42" s="8">
        <f>1.14+0.6</f>
        <v>1.7399999999999998</v>
      </c>
      <c r="AG42" s="6">
        <v>44104</v>
      </c>
      <c r="AH42" s="33">
        <v>20.71</v>
      </c>
    </row>
    <row r="43" spans="11:34" x14ac:dyDescent="0.2">
      <c r="K43" s="4">
        <v>43616</v>
      </c>
      <c r="L43" s="10">
        <v>2.25</v>
      </c>
      <c r="M43" s="6">
        <v>43373</v>
      </c>
      <c r="N43" s="28">
        <v>80.400000000000006</v>
      </c>
      <c r="P43" s="11"/>
      <c r="Q43" s="6">
        <v>43373</v>
      </c>
      <c r="R43" s="28">
        <v>112.12</v>
      </c>
      <c r="S43" s="4">
        <v>43280</v>
      </c>
      <c r="T43" s="8">
        <v>2</v>
      </c>
      <c r="U43" s="6">
        <v>43373</v>
      </c>
      <c r="V43" s="28">
        <v>77.900000000000006</v>
      </c>
      <c r="W43" s="4">
        <v>42216</v>
      </c>
      <c r="X43" s="8">
        <v>2.5</v>
      </c>
      <c r="Y43" s="6">
        <v>43373</v>
      </c>
      <c r="Z43" s="28">
        <v>78.099999999999994</v>
      </c>
      <c r="AA43" s="4">
        <v>42825</v>
      </c>
      <c r="AB43" s="8">
        <v>1</v>
      </c>
      <c r="AC43" s="6">
        <v>43373</v>
      </c>
      <c r="AD43" s="28">
        <v>34.56</v>
      </c>
      <c r="AE43" s="4">
        <v>44680</v>
      </c>
      <c r="AF43" s="8">
        <v>0.57999999999999996</v>
      </c>
      <c r="AG43" s="6">
        <v>44196</v>
      </c>
      <c r="AH43" s="33">
        <v>21.84</v>
      </c>
    </row>
    <row r="44" spans="11:34" x14ac:dyDescent="0.2">
      <c r="K44" s="4">
        <v>43738</v>
      </c>
      <c r="L44" s="10">
        <v>2.25</v>
      </c>
      <c r="M44" s="6">
        <v>43465</v>
      </c>
      <c r="N44" s="28">
        <v>84.7</v>
      </c>
      <c r="Q44" s="6">
        <v>43465</v>
      </c>
      <c r="R44" s="28">
        <v>118.94</v>
      </c>
      <c r="S44" s="4">
        <v>43464</v>
      </c>
      <c r="T44" s="8">
        <v>2</v>
      </c>
      <c r="U44" s="6">
        <v>43465</v>
      </c>
      <c r="V44" s="28">
        <v>77.400000000000006</v>
      </c>
      <c r="W44" s="4">
        <v>42368</v>
      </c>
      <c r="X44" s="8">
        <v>2.5</v>
      </c>
      <c r="Y44" s="6">
        <v>43465</v>
      </c>
      <c r="Z44" s="28">
        <v>80.150000000000006</v>
      </c>
      <c r="AA44" s="4">
        <v>43069</v>
      </c>
      <c r="AB44" s="8">
        <v>1</v>
      </c>
      <c r="AC44" s="6">
        <v>43465</v>
      </c>
      <c r="AD44" s="28">
        <v>35.26</v>
      </c>
      <c r="AE44" s="4">
        <v>44771</v>
      </c>
      <c r="AF44" s="9">
        <v>1.1399999999999999</v>
      </c>
      <c r="AG44" s="6">
        <v>44286</v>
      </c>
      <c r="AH44" s="33">
        <v>22.3</v>
      </c>
    </row>
    <row r="45" spans="11:34" x14ac:dyDescent="0.2">
      <c r="K45" s="4">
        <v>43980</v>
      </c>
      <c r="L45" s="10">
        <v>2.25</v>
      </c>
      <c r="M45" s="6">
        <v>43555</v>
      </c>
      <c r="N45" s="28">
        <v>86.16</v>
      </c>
      <c r="Q45" s="6">
        <v>43555</v>
      </c>
      <c r="R45" s="28">
        <v>117.76</v>
      </c>
      <c r="S45" s="4">
        <v>43644</v>
      </c>
      <c r="T45" s="9">
        <v>2</v>
      </c>
      <c r="U45" s="6">
        <v>43555</v>
      </c>
      <c r="V45" s="28">
        <v>78.599999999999994</v>
      </c>
      <c r="W45" s="4">
        <v>42582</v>
      </c>
      <c r="X45" s="8">
        <v>2.5</v>
      </c>
      <c r="Y45" s="6">
        <v>43555</v>
      </c>
      <c r="Z45" s="28">
        <v>79</v>
      </c>
      <c r="AA45" s="4">
        <v>43188</v>
      </c>
      <c r="AB45" s="8">
        <v>1</v>
      </c>
      <c r="AC45" s="6">
        <v>43555</v>
      </c>
      <c r="AD45" s="28">
        <v>34.729999999999997</v>
      </c>
      <c r="AE45" s="4">
        <v>44865</v>
      </c>
      <c r="AF45" s="8">
        <v>0.57999999999999996</v>
      </c>
      <c r="AG45" s="6">
        <v>44377</v>
      </c>
      <c r="AH45" s="33">
        <v>23.99</v>
      </c>
    </row>
    <row r="46" spans="11:34" x14ac:dyDescent="0.2">
      <c r="K46" s="4">
        <v>44104</v>
      </c>
      <c r="L46" s="10">
        <v>1.99</v>
      </c>
      <c r="M46" s="6">
        <v>43646</v>
      </c>
      <c r="N46" s="28">
        <v>85.28</v>
      </c>
      <c r="Q46" s="6">
        <v>43646</v>
      </c>
      <c r="R46" s="28">
        <v>118.42</v>
      </c>
      <c r="S46" s="4">
        <v>43830</v>
      </c>
      <c r="T46" s="9">
        <v>2</v>
      </c>
      <c r="U46" s="6">
        <v>43646</v>
      </c>
      <c r="V46" s="28">
        <v>85.15</v>
      </c>
      <c r="W46" s="4">
        <v>42734</v>
      </c>
      <c r="X46" s="8">
        <v>2.5</v>
      </c>
      <c r="Y46" s="6">
        <v>43646</v>
      </c>
      <c r="Z46" s="28">
        <v>79.37</v>
      </c>
      <c r="AA46" s="4">
        <v>43434</v>
      </c>
      <c r="AB46" s="8">
        <v>1</v>
      </c>
      <c r="AC46" s="6">
        <v>43646</v>
      </c>
      <c r="AD46" s="28">
        <v>35.29</v>
      </c>
      <c r="AE46" s="4"/>
      <c r="AF46" s="8"/>
      <c r="AG46" s="6">
        <v>44469</v>
      </c>
      <c r="AH46" s="32">
        <f>24.3</f>
        <v>24.3</v>
      </c>
    </row>
    <row r="47" spans="11:34" x14ac:dyDescent="0.2">
      <c r="K47" s="4">
        <v>44344</v>
      </c>
      <c r="L47" s="10">
        <v>2.06</v>
      </c>
      <c r="M47" s="6">
        <v>43738</v>
      </c>
      <c r="N47" s="28">
        <v>83.52</v>
      </c>
      <c r="Q47" s="6">
        <v>43738</v>
      </c>
      <c r="R47" s="28">
        <v>119.42</v>
      </c>
      <c r="S47" s="4">
        <v>44012</v>
      </c>
      <c r="T47" s="9">
        <v>2</v>
      </c>
      <c r="U47" s="6">
        <v>43738</v>
      </c>
      <c r="V47" s="28">
        <v>85.279525000573713</v>
      </c>
      <c r="W47" s="4">
        <v>42947</v>
      </c>
      <c r="X47" s="8">
        <v>2.5</v>
      </c>
      <c r="Y47" s="6">
        <v>43738</v>
      </c>
      <c r="Z47" s="28">
        <v>77.959999999999994</v>
      </c>
      <c r="AA47" s="4">
        <v>43553</v>
      </c>
      <c r="AB47" s="9">
        <v>1</v>
      </c>
      <c r="AC47" s="6">
        <v>43738</v>
      </c>
      <c r="AD47" s="28">
        <v>35.82</v>
      </c>
      <c r="AE47" s="4"/>
      <c r="AF47" s="8"/>
      <c r="AG47" s="6">
        <v>44561</v>
      </c>
      <c r="AH47" s="28">
        <v>23.05</v>
      </c>
    </row>
    <row r="48" spans="11:34" x14ac:dyDescent="0.2">
      <c r="K48" s="4">
        <v>44468</v>
      </c>
      <c r="L48" s="10">
        <v>2.31</v>
      </c>
      <c r="M48" s="6">
        <v>43830</v>
      </c>
      <c r="N48" s="28">
        <v>83.47</v>
      </c>
      <c r="Q48" s="6">
        <v>43830</v>
      </c>
      <c r="R48" s="28">
        <v>118.7</v>
      </c>
      <c r="S48" s="4">
        <v>44134</v>
      </c>
      <c r="T48" s="9">
        <v>9</v>
      </c>
      <c r="U48" s="6">
        <v>43830</v>
      </c>
      <c r="V48" s="30">
        <v>82.58</v>
      </c>
      <c r="W48" s="4">
        <v>43131</v>
      </c>
      <c r="X48" s="8">
        <v>2.5</v>
      </c>
      <c r="Y48" s="6">
        <v>43830</v>
      </c>
      <c r="Z48" s="28">
        <v>78.2</v>
      </c>
      <c r="AA48" s="4">
        <v>43798</v>
      </c>
      <c r="AB48" s="9">
        <v>1</v>
      </c>
      <c r="AC48" s="6">
        <v>43830</v>
      </c>
      <c r="AD48" s="30">
        <v>34.729999999999997</v>
      </c>
      <c r="AE48" s="4"/>
      <c r="AF48" s="8"/>
      <c r="AG48" s="6">
        <v>44651</v>
      </c>
      <c r="AH48" s="28">
        <v>23.77</v>
      </c>
    </row>
    <row r="49" spans="11:34" x14ac:dyDescent="0.2">
      <c r="K49" s="4">
        <v>44712</v>
      </c>
      <c r="L49" s="10">
        <v>2.37</v>
      </c>
      <c r="M49" s="6">
        <v>43921</v>
      </c>
      <c r="N49" s="28">
        <v>77.660693495845905</v>
      </c>
      <c r="Q49" s="6">
        <v>43921</v>
      </c>
      <c r="R49" s="28">
        <v>106.54</v>
      </c>
      <c r="S49" s="4">
        <v>44196</v>
      </c>
      <c r="T49" s="9">
        <v>1.95</v>
      </c>
      <c r="U49" s="6">
        <v>43921</v>
      </c>
      <c r="V49" s="30">
        <v>77.37</v>
      </c>
      <c r="W49" s="4">
        <v>43312</v>
      </c>
      <c r="X49" s="8">
        <v>2.5</v>
      </c>
      <c r="Y49" s="6">
        <v>43921</v>
      </c>
      <c r="Z49" s="28">
        <v>71.319999999999993</v>
      </c>
      <c r="AA49" s="4">
        <v>43921</v>
      </c>
      <c r="AB49" s="9">
        <v>1</v>
      </c>
      <c r="AC49" s="6">
        <v>43921</v>
      </c>
      <c r="AD49" s="30">
        <v>32.020000000000003</v>
      </c>
      <c r="AE49" s="4"/>
      <c r="AF49" s="8"/>
      <c r="AG49" s="6">
        <v>44742</v>
      </c>
      <c r="AH49" s="28">
        <v>23.07</v>
      </c>
    </row>
    <row r="50" spans="11:34" x14ac:dyDescent="0.2">
      <c r="K50" s="4">
        <v>44834</v>
      </c>
      <c r="L50" s="10">
        <v>2.34</v>
      </c>
      <c r="M50" s="6">
        <v>44012</v>
      </c>
      <c r="N50" s="28">
        <v>79.3</v>
      </c>
      <c r="Q50" s="6">
        <v>44012</v>
      </c>
      <c r="R50" s="28">
        <v>110.43</v>
      </c>
      <c r="S50" s="4">
        <v>44377</v>
      </c>
      <c r="T50" s="9">
        <v>1.73</v>
      </c>
      <c r="U50" s="6">
        <v>44012</v>
      </c>
      <c r="V50" s="30">
        <v>77.849999999999994</v>
      </c>
      <c r="W50" s="4">
        <v>43496</v>
      </c>
      <c r="X50" s="8">
        <v>2.5</v>
      </c>
      <c r="Y50" s="6">
        <v>44012</v>
      </c>
      <c r="Z50" s="28">
        <v>71.81</v>
      </c>
      <c r="AA50" s="4">
        <v>44134</v>
      </c>
      <c r="AB50" s="9">
        <v>2</v>
      </c>
      <c r="AC50" s="6">
        <v>44012</v>
      </c>
      <c r="AD50" s="30">
        <v>33.14</v>
      </c>
      <c r="AG50" s="6">
        <v>44834</v>
      </c>
      <c r="AH50" s="28">
        <v>21.91</v>
      </c>
    </row>
    <row r="51" spans="11:34" x14ac:dyDescent="0.2">
      <c r="K51" s="4"/>
      <c r="M51" s="6">
        <v>44104</v>
      </c>
      <c r="N51" s="28">
        <v>78.36</v>
      </c>
      <c r="Q51" s="6">
        <v>44104</v>
      </c>
      <c r="R51" s="28">
        <v>109.55</v>
      </c>
      <c r="S51" s="4">
        <v>44561</v>
      </c>
      <c r="T51" s="9">
        <v>1.95</v>
      </c>
      <c r="U51" s="6">
        <v>44104</v>
      </c>
      <c r="V51" s="30">
        <v>78.75</v>
      </c>
      <c r="W51" s="4">
        <v>43677</v>
      </c>
      <c r="X51" s="8">
        <v>2.5</v>
      </c>
      <c r="Y51" s="6">
        <v>44104</v>
      </c>
      <c r="Z51" s="28">
        <v>69.593762356428584</v>
      </c>
      <c r="AA51" s="4">
        <v>44165</v>
      </c>
      <c r="AB51" s="9">
        <v>0.83</v>
      </c>
      <c r="AC51" s="6">
        <v>44104</v>
      </c>
      <c r="AD51" s="30">
        <v>33.340000000000003</v>
      </c>
      <c r="AE51" s="4"/>
      <c r="AG51" s="6">
        <v>44926</v>
      </c>
      <c r="AH51" s="28">
        <v>20.95</v>
      </c>
    </row>
    <row r="52" spans="11:34" x14ac:dyDescent="0.2">
      <c r="K52" s="4"/>
      <c r="M52" s="6">
        <v>44196</v>
      </c>
      <c r="N52" s="28">
        <v>82.42</v>
      </c>
      <c r="Q52" s="6">
        <v>44196</v>
      </c>
      <c r="R52" s="28">
        <v>114.97</v>
      </c>
      <c r="S52" s="4">
        <v>44742</v>
      </c>
      <c r="T52" s="9">
        <v>2.02</v>
      </c>
      <c r="U52" s="6">
        <v>44196</v>
      </c>
      <c r="V52" s="30">
        <v>69.349999999999994</v>
      </c>
      <c r="W52" s="4">
        <v>43861</v>
      </c>
      <c r="X52" s="8">
        <v>2.5</v>
      </c>
      <c r="Y52" s="6">
        <v>44196</v>
      </c>
      <c r="Z52" s="28">
        <v>73.48</v>
      </c>
      <c r="AA52" s="4">
        <v>44286</v>
      </c>
      <c r="AB52" s="9">
        <v>0.78</v>
      </c>
      <c r="AC52" s="6">
        <v>44196</v>
      </c>
      <c r="AD52" s="30">
        <v>31.13</v>
      </c>
      <c r="AG52" s="6"/>
      <c r="AH52" s="28"/>
    </row>
    <row r="53" spans="11:34" x14ac:dyDescent="0.2">
      <c r="K53" s="4"/>
      <c r="M53" s="6">
        <v>44286</v>
      </c>
      <c r="N53" s="28">
        <v>84.07</v>
      </c>
      <c r="Q53" s="6">
        <v>44286</v>
      </c>
      <c r="R53" s="28">
        <v>114.6</v>
      </c>
      <c r="S53" s="4">
        <v>44926</v>
      </c>
      <c r="T53" s="9">
        <v>1.97</v>
      </c>
      <c r="U53" s="6">
        <v>44286</v>
      </c>
      <c r="V53" s="30">
        <v>70.33</v>
      </c>
      <c r="W53" s="4">
        <v>44033</v>
      </c>
      <c r="X53" s="8">
        <v>2.5</v>
      </c>
      <c r="Y53" s="6">
        <v>44286</v>
      </c>
      <c r="Z53" s="28">
        <v>73.13</v>
      </c>
      <c r="AA53" s="4">
        <v>44530</v>
      </c>
      <c r="AB53" s="9">
        <v>2.37</v>
      </c>
      <c r="AC53" s="6">
        <v>44286</v>
      </c>
      <c r="AD53" s="30">
        <v>31.59</v>
      </c>
      <c r="AG53" s="6"/>
      <c r="AH53" s="28"/>
    </row>
    <row r="54" spans="11:34" x14ac:dyDescent="0.2">
      <c r="M54" s="6">
        <v>44377</v>
      </c>
      <c r="N54" s="28">
        <v>92.41</v>
      </c>
      <c r="Q54" s="6">
        <v>44377</v>
      </c>
      <c r="R54" s="28">
        <v>127.92860365121265</v>
      </c>
      <c r="U54" s="6">
        <v>44377</v>
      </c>
      <c r="V54" s="28">
        <v>78.17</v>
      </c>
      <c r="W54" s="4">
        <v>44225</v>
      </c>
      <c r="X54" s="8">
        <v>1.74</v>
      </c>
      <c r="Y54" s="6">
        <v>44377</v>
      </c>
      <c r="Z54" s="28">
        <v>73.81</v>
      </c>
      <c r="AA54" s="4">
        <v>44651</v>
      </c>
      <c r="AB54" s="9">
        <v>0.84</v>
      </c>
      <c r="AC54" s="6">
        <v>44377</v>
      </c>
      <c r="AD54" s="30">
        <v>34.79</v>
      </c>
      <c r="AG54" s="6"/>
      <c r="AH54" s="28"/>
    </row>
    <row r="55" spans="11:34" x14ac:dyDescent="0.2">
      <c r="M55" s="6">
        <v>44469</v>
      </c>
      <c r="N55" s="28">
        <v>92.52</v>
      </c>
      <c r="Q55" s="6">
        <v>44469</v>
      </c>
      <c r="R55" s="28">
        <v>128.84750837594351</v>
      </c>
      <c r="U55" s="6">
        <v>44469</v>
      </c>
      <c r="V55" s="28">
        <v>81.16</v>
      </c>
      <c r="W55" s="4">
        <v>44407</v>
      </c>
      <c r="X55" s="8">
        <v>1.83</v>
      </c>
      <c r="Y55" s="6">
        <v>44469</v>
      </c>
      <c r="Z55" s="31">
        <f>58.8</f>
        <v>58.8</v>
      </c>
      <c r="AA55" s="6">
        <v>44895</v>
      </c>
      <c r="AB55" s="5">
        <v>0.84</v>
      </c>
      <c r="AC55" s="6">
        <v>44469</v>
      </c>
      <c r="AD55" s="30">
        <v>35.619999999999997</v>
      </c>
      <c r="AG55" s="6"/>
      <c r="AH55" s="28"/>
    </row>
    <row r="56" spans="11:34" x14ac:dyDescent="0.2">
      <c r="M56" s="6">
        <v>44561</v>
      </c>
      <c r="N56" s="28">
        <v>94.98</v>
      </c>
      <c r="Q56" s="6">
        <v>44561</v>
      </c>
      <c r="R56" s="28">
        <v>132.88999999999999</v>
      </c>
      <c r="U56" s="6">
        <v>44561</v>
      </c>
      <c r="V56" s="28">
        <v>80.650000000000006</v>
      </c>
      <c r="W56" s="4">
        <v>44407</v>
      </c>
      <c r="X56" s="8">
        <v>15</v>
      </c>
      <c r="Y56" s="6">
        <v>44561</v>
      </c>
      <c r="Z56" s="28">
        <v>52.9</v>
      </c>
      <c r="AC56" s="6">
        <v>44561</v>
      </c>
      <c r="AD56" s="30">
        <v>33.76</v>
      </c>
      <c r="AG56" s="6"/>
      <c r="AH56" s="28"/>
    </row>
    <row r="57" spans="11:34" x14ac:dyDescent="0.2">
      <c r="M57" s="6">
        <v>44651</v>
      </c>
      <c r="N57" s="28">
        <v>97.15</v>
      </c>
      <c r="Q57" s="6">
        <v>44651</v>
      </c>
      <c r="R57" s="28">
        <v>132.28</v>
      </c>
      <c r="U57" s="6">
        <v>44651</v>
      </c>
      <c r="V57" s="28">
        <v>82.05</v>
      </c>
      <c r="W57" s="4">
        <v>44561</v>
      </c>
      <c r="X57" s="8">
        <v>7</v>
      </c>
      <c r="Y57" s="6">
        <v>44651</v>
      </c>
      <c r="Z57" s="28">
        <v>53.38</v>
      </c>
      <c r="AC57" s="6">
        <v>44651</v>
      </c>
      <c r="AD57" s="30">
        <v>33.71</v>
      </c>
      <c r="AG57" s="6"/>
      <c r="AH57" s="28"/>
    </row>
    <row r="58" spans="11:34" x14ac:dyDescent="0.2">
      <c r="M58" s="6">
        <v>44742</v>
      </c>
      <c r="N58" s="28">
        <v>93.55</v>
      </c>
      <c r="Q58" s="6">
        <v>44742</v>
      </c>
      <c r="R58" s="28">
        <v>130.19999999999999</v>
      </c>
      <c r="U58" s="6">
        <v>44742</v>
      </c>
      <c r="V58" s="28">
        <v>78.69</v>
      </c>
      <c r="W58" s="4">
        <v>44592</v>
      </c>
      <c r="X58" s="8">
        <v>1.47</v>
      </c>
      <c r="Y58" s="6">
        <v>44742</v>
      </c>
      <c r="Z58" s="28">
        <v>53.79</v>
      </c>
      <c r="AC58" s="6">
        <v>44742</v>
      </c>
      <c r="AD58" s="30">
        <v>33.700000000000003</v>
      </c>
      <c r="AG58" s="6"/>
      <c r="AH58" s="28"/>
    </row>
    <row r="59" spans="11:34" x14ac:dyDescent="0.2">
      <c r="M59" s="6">
        <v>44834</v>
      </c>
      <c r="N59" s="28">
        <v>91.32</v>
      </c>
      <c r="Q59" s="6">
        <v>44834</v>
      </c>
      <c r="R59" s="28">
        <v>127</v>
      </c>
      <c r="U59" s="6">
        <v>44834</v>
      </c>
      <c r="V59" s="28">
        <v>77.94</v>
      </c>
      <c r="W59" s="4">
        <v>44771</v>
      </c>
      <c r="X59" s="9">
        <v>1.33</v>
      </c>
      <c r="Y59" s="6">
        <v>44834</v>
      </c>
      <c r="Z59" s="28">
        <v>52.9</v>
      </c>
      <c r="AC59" s="6">
        <v>44834</v>
      </c>
      <c r="AD59" s="28">
        <v>33.770000000000003</v>
      </c>
      <c r="AG59" s="6"/>
      <c r="AH59" s="28"/>
    </row>
    <row r="60" spans="11:34" x14ac:dyDescent="0.2">
      <c r="M60" s="6">
        <v>44926</v>
      </c>
      <c r="N60" s="28">
        <v>88.65</v>
      </c>
      <c r="Q60" s="6">
        <v>44926</v>
      </c>
      <c r="R60" s="28">
        <v>123.01</v>
      </c>
      <c r="U60" s="6">
        <v>44926</v>
      </c>
      <c r="V60" s="28">
        <v>72.92</v>
      </c>
      <c r="Y60" s="6">
        <v>44926</v>
      </c>
      <c r="Z60" s="28">
        <v>51.39</v>
      </c>
      <c r="AC60" s="6">
        <v>44926</v>
      </c>
      <c r="AD60" s="30">
        <v>31.79</v>
      </c>
      <c r="AG60" s="6"/>
      <c r="AH60" s="28"/>
    </row>
  </sheetData>
  <sortState xmlns:xlrd2="http://schemas.microsoft.com/office/spreadsheetml/2017/richdata2" ref="AG3:AH51">
    <sortCondition ref="AG3:AG51"/>
  </sortState>
  <mergeCells count="9">
    <mergeCell ref="AE1:AH1"/>
    <mergeCell ref="K1:N1"/>
    <mergeCell ref="O1:R1"/>
    <mergeCell ref="S1:V1"/>
    <mergeCell ref="C5:D5"/>
    <mergeCell ref="E5:F5"/>
    <mergeCell ref="G5:H5"/>
    <mergeCell ref="W1:Z1"/>
    <mergeCell ref="AA1:A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B9C67-EA96-EE4E-A898-3F07F496972C}">
  <sheetPr codeName="Sheet3"/>
  <dimension ref="C1:H59"/>
  <sheetViews>
    <sheetView workbookViewId="0">
      <selection activeCell="J32" sqref="J32"/>
    </sheetView>
  </sheetViews>
  <sheetFormatPr baseColWidth="10" defaultRowHeight="15" x14ac:dyDescent="0.2"/>
  <cols>
    <col min="11" max="11" width="11.6640625" bestFit="1" customWidth="1"/>
    <col min="12" max="12" width="12.1640625" bestFit="1" customWidth="1"/>
  </cols>
  <sheetData>
    <row r="1" spans="3:8" x14ac:dyDescent="0.2">
      <c r="C1" t="s">
        <v>0</v>
      </c>
      <c r="D1" t="s">
        <v>10</v>
      </c>
      <c r="E1" t="s">
        <v>11</v>
      </c>
      <c r="F1" s="24" t="s">
        <v>12</v>
      </c>
      <c r="G1" s="24" t="s">
        <v>9</v>
      </c>
      <c r="H1" t="s">
        <v>14</v>
      </c>
    </row>
    <row r="2" spans="3:8" x14ac:dyDescent="0.2">
      <c r="C2" s="18">
        <v>39721</v>
      </c>
      <c r="D2" s="19">
        <f>89.9+5.5</f>
        <v>95.4</v>
      </c>
      <c r="E2" s="16"/>
      <c r="F2" s="24">
        <v>1</v>
      </c>
      <c r="G2" s="24"/>
    </row>
    <row r="3" spans="3:8" x14ac:dyDescent="0.2">
      <c r="C3" s="18">
        <v>39813</v>
      </c>
      <c r="D3" s="19">
        <v>84.8</v>
      </c>
      <c r="E3" s="20">
        <v>9.5</v>
      </c>
      <c r="F3" s="24">
        <f>(D3+E3)/D2*F2</f>
        <v>0.98846960167714881</v>
      </c>
      <c r="G3" s="24">
        <f>F3/F2-1</f>
        <v>-1.1530398322851187E-2</v>
      </c>
    </row>
    <row r="4" spans="3:8" x14ac:dyDescent="0.2">
      <c r="C4" s="18">
        <v>39903</v>
      </c>
      <c r="D4" s="19">
        <v>82</v>
      </c>
      <c r="E4" s="16"/>
      <c r="F4" s="24">
        <f t="shared" ref="F4:F59" si="0">(D4+E4)/D3*F3</f>
        <v>0.95583145445196005</v>
      </c>
      <c r="G4" s="24"/>
    </row>
    <row r="5" spans="3:8" x14ac:dyDescent="0.2">
      <c r="C5" s="18">
        <v>39994</v>
      </c>
      <c r="D5" s="19">
        <v>79.2</v>
      </c>
      <c r="E5" s="16"/>
      <c r="F5" s="24">
        <f t="shared" si="0"/>
        <v>0.92319330722677129</v>
      </c>
      <c r="G5" s="24"/>
    </row>
    <row r="6" spans="3:8" x14ac:dyDescent="0.2">
      <c r="C6" s="18">
        <v>40086</v>
      </c>
      <c r="D6" s="19">
        <f>77.3</f>
        <v>77.3</v>
      </c>
      <c r="E6" s="20">
        <v>4</v>
      </c>
      <c r="F6" s="24">
        <f t="shared" si="0"/>
        <v>0.94767191764566283</v>
      </c>
      <c r="G6" s="24"/>
    </row>
    <row r="7" spans="3:8" x14ac:dyDescent="0.2">
      <c r="C7" s="18">
        <v>40178</v>
      </c>
      <c r="D7" s="19">
        <v>79.3</v>
      </c>
      <c r="E7" s="16"/>
      <c r="F7" s="24">
        <f t="shared" si="0"/>
        <v>0.97219124281113911</v>
      </c>
      <c r="G7" s="24">
        <f>F7/F3-1</f>
        <v>-1.6468244282262234E-2</v>
      </c>
    </row>
    <row r="8" spans="3:8" x14ac:dyDescent="0.2">
      <c r="C8" s="18">
        <v>40268</v>
      </c>
      <c r="D8" s="19">
        <f>77.8+4</f>
        <v>81.8</v>
      </c>
      <c r="E8" s="16"/>
      <c r="F8" s="24">
        <f t="shared" si="0"/>
        <v>1.0028403992679846</v>
      </c>
      <c r="G8" s="24"/>
    </row>
    <row r="9" spans="3:8" x14ac:dyDescent="0.2">
      <c r="C9" s="18">
        <v>40359</v>
      </c>
      <c r="D9" s="19">
        <v>77</v>
      </c>
      <c r="E9" s="16">
        <v>4</v>
      </c>
      <c r="F9" s="24">
        <f t="shared" si="0"/>
        <v>0.99303266920179412</v>
      </c>
      <c r="G9" s="24"/>
    </row>
    <row r="10" spans="3:8" x14ac:dyDescent="0.2">
      <c r="C10" s="18">
        <v>40451</v>
      </c>
      <c r="D10" s="19">
        <v>75.7</v>
      </c>
      <c r="E10" s="20">
        <v>4</v>
      </c>
      <c r="F10" s="24">
        <f t="shared" si="0"/>
        <v>1.0278532952647141</v>
      </c>
      <c r="G10" s="24"/>
    </row>
    <row r="11" spans="3:8" x14ac:dyDescent="0.2">
      <c r="C11" s="18">
        <v>40543</v>
      </c>
      <c r="D11" s="19">
        <v>75.400000000000006</v>
      </c>
      <c r="E11" s="16"/>
      <c r="F11" s="24">
        <f t="shared" si="0"/>
        <v>1.0237799004353956</v>
      </c>
      <c r="G11" s="24">
        <f>F11/F7-1</f>
        <v>5.3064310140343629E-2</v>
      </c>
    </row>
    <row r="12" spans="3:8" x14ac:dyDescent="0.2">
      <c r="C12" s="18">
        <v>40633</v>
      </c>
      <c r="D12" s="19">
        <f>73.7+2.5</f>
        <v>76.2</v>
      </c>
      <c r="E12" s="16"/>
      <c r="F12" s="24">
        <f t="shared" si="0"/>
        <v>1.0346422866469116</v>
      </c>
      <c r="G12" s="24"/>
    </row>
    <row r="13" spans="3:8" x14ac:dyDescent="0.2">
      <c r="C13" s="18">
        <v>40724</v>
      </c>
      <c r="D13" s="19">
        <v>74.8</v>
      </c>
      <c r="E13" s="16">
        <v>2.5</v>
      </c>
      <c r="F13" s="24">
        <f t="shared" si="0"/>
        <v>1.0495780676877462</v>
      </c>
      <c r="G13" s="24"/>
    </row>
    <row r="14" spans="3:8" x14ac:dyDescent="0.2">
      <c r="C14" s="18">
        <v>40816</v>
      </c>
      <c r="D14" s="19">
        <v>73.5</v>
      </c>
      <c r="E14" s="20">
        <v>2.5</v>
      </c>
      <c r="F14" s="24">
        <f t="shared" si="0"/>
        <v>1.0664162185062662</v>
      </c>
      <c r="G14" s="24"/>
    </row>
    <row r="15" spans="3:8" x14ac:dyDescent="0.2">
      <c r="C15" s="18">
        <v>40908</v>
      </c>
      <c r="D15" s="19">
        <v>75.5</v>
      </c>
      <c r="E15" s="16"/>
      <c r="F15" s="24">
        <f t="shared" si="0"/>
        <v>1.0954343469009946</v>
      </c>
      <c r="G15" s="24">
        <f>F15/F11-1</f>
        <v>6.9990089114980281E-2</v>
      </c>
    </row>
    <row r="16" spans="3:8" x14ac:dyDescent="0.2">
      <c r="C16" s="18">
        <v>40999</v>
      </c>
      <c r="D16" s="19">
        <f>74.2+2.5</f>
        <v>76.7</v>
      </c>
      <c r="E16" s="16"/>
      <c r="F16" s="24">
        <f t="shared" si="0"/>
        <v>1.1128452239378315</v>
      </c>
      <c r="G16" s="24"/>
    </row>
    <row r="17" spans="3:8" x14ac:dyDescent="0.2">
      <c r="C17" s="18">
        <v>41090</v>
      </c>
      <c r="D17" s="19">
        <v>73.900000000000006</v>
      </c>
      <c r="E17" s="16">
        <v>2.5</v>
      </c>
      <c r="F17" s="24">
        <f t="shared" si="0"/>
        <v>1.1084925046786223</v>
      </c>
      <c r="G17" s="24"/>
    </row>
    <row r="18" spans="3:8" x14ac:dyDescent="0.2">
      <c r="C18" s="18">
        <v>41182</v>
      </c>
      <c r="D18" s="19">
        <v>72</v>
      </c>
      <c r="E18" s="20">
        <v>2.5</v>
      </c>
      <c r="F18" s="24">
        <f t="shared" si="0"/>
        <v>1.1174924438235094</v>
      </c>
      <c r="G18" s="24"/>
    </row>
    <row r="19" spans="3:8" x14ac:dyDescent="0.2">
      <c r="C19" s="18">
        <v>41274</v>
      </c>
      <c r="D19" s="19">
        <v>74</v>
      </c>
      <c r="E19" s="16"/>
      <c r="F19" s="24">
        <f t="shared" si="0"/>
        <v>1.1485339005963846</v>
      </c>
      <c r="G19" s="24">
        <f>F19/F15-1</f>
        <v>4.8473515410220269E-2</v>
      </c>
    </row>
    <row r="20" spans="3:8" x14ac:dyDescent="0.2">
      <c r="C20" s="18">
        <v>41364</v>
      </c>
      <c r="D20" s="19">
        <f>73.9+2.5</f>
        <v>76.400000000000006</v>
      </c>
      <c r="E20" s="16"/>
      <c r="F20" s="24">
        <f t="shared" si="0"/>
        <v>1.1857836487238351</v>
      </c>
      <c r="G20" s="24"/>
    </row>
    <row r="21" spans="3:8" x14ac:dyDescent="0.2">
      <c r="C21" s="18">
        <v>41455</v>
      </c>
      <c r="D21" s="19">
        <v>74.599999999999994</v>
      </c>
      <c r="E21" s="16">
        <v>2.5</v>
      </c>
      <c r="F21" s="24">
        <f t="shared" si="0"/>
        <v>1.1966481585943414</v>
      </c>
      <c r="G21" s="24"/>
    </row>
    <row r="22" spans="3:8" x14ac:dyDescent="0.2">
      <c r="C22" s="18">
        <v>41547</v>
      </c>
      <c r="D22" s="19">
        <v>72.900000000000006</v>
      </c>
      <c r="E22" s="20">
        <v>2.5</v>
      </c>
      <c r="F22" s="24">
        <f t="shared" si="0"/>
        <v>1.2094808466221629</v>
      </c>
      <c r="G22" s="24"/>
    </row>
    <row r="23" spans="3:8" x14ac:dyDescent="0.2">
      <c r="C23" s="18">
        <v>41639</v>
      </c>
      <c r="D23" s="19">
        <v>74.099999999999994</v>
      </c>
      <c r="E23" s="16"/>
      <c r="F23" s="24">
        <f t="shared" si="0"/>
        <v>1.2293899963607993</v>
      </c>
      <c r="G23" s="24">
        <f>F23/F19-1</f>
        <v>7.0399398504850108E-2</v>
      </c>
      <c r="H23">
        <f>F23/F11-1</f>
        <v>0.20083427681864174</v>
      </c>
    </row>
    <row r="24" spans="3:8" x14ac:dyDescent="0.2">
      <c r="C24" s="18">
        <v>41729</v>
      </c>
      <c r="D24" s="19">
        <f>72.2+2.5</f>
        <v>74.7</v>
      </c>
      <c r="E24" s="16"/>
      <c r="F24" s="24">
        <f t="shared" si="0"/>
        <v>1.2393445712301177</v>
      </c>
      <c r="G24" s="24"/>
    </row>
    <row r="25" spans="3:8" x14ac:dyDescent="0.2">
      <c r="C25" s="18">
        <v>41820</v>
      </c>
      <c r="D25" s="19">
        <v>73.3</v>
      </c>
      <c r="E25" s="16">
        <v>2.5</v>
      </c>
      <c r="F25" s="24">
        <f t="shared" si="0"/>
        <v>1.257594625157201</v>
      </c>
      <c r="G25" s="24"/>
    </row>
    <row r="26" spans="3:8" x14ac:dyDescent="0.2">
      <c r="C26" s="18">
        <v>41912</v>
      </c>
      <c r="D26" s="19">
        <v>71.36</v>
      </c>
      <c r="E26" s="21">
        <v>2.5</v>
      </c>
      <c r="F26" s="24">
        <f t="shared" si="0"/>
        <v>1.2672024422116082</v>
      </c>
      <c r="G26" s="24"/>
    </row>
    <row r="27" spans="3:8" x14ac:dyDescent="0.2">
      <c r="C27" s="18">
        <v>42004</v>
      </c>
      <c r="D27" s="19">
        <v>73.099999999999994</v>
      </c>
      <c r="E27" s="16"/>
      <c r="F27" s="24">
        <f t="shared" si="0"/>
        <v>1.2981011564695706</v>
      </c>
      <c r="G27" s="24">
        <f>F27/F23-1</f>
        <v>5.5890449989155488E-2</v>
      </c>
    </row>
    <row r="28" spans="3:8" x14ac:dyDescent="0.2">
      <c r="C28" s="18">
        <v>42094</v>
      </c>
      <c r="D28" s="19">
        <v>74.25</v>
      </c>
      <c r="E28" s="16"/>
      <c r="F28" s="24">
        <f t="shared" si="0"/>
        <v>1.3185227204906378</v>
      </c>
      <c r="G28" s="24"/>
    </row>
    <row r="29" spans="3:8" x14ac:dyDescent="0.2">
      <c r="C29" s="18">
        <v>42185</v>
      </c>
      <c r="D29" s="19">
        <v>73.7</v>
      </c>
      <c r="E29" s="16">
        <v>2.5</v>
      </c>
      <c r="F29" s="24">
        <f t="shared" si="0"/>
        <v>1.3531505899176646</v>
      </c>
      <c r="G29" s="24"/>
    </row>
    <row r="30" spans="3:8" x14ac:dyDescent="0.2">
      <c r="C30" s="18">
        <v>42277</v>
      </c>
      <c r="D30" s="19">
        <v>71.3</v>
      </c>
      <c r="E30" s="21">
        <v>2.5</v>
      </c>
      <c r="F30" s="24">
        <f t="shared" si="0"/>
        <v>1.3549866151414334</v>
      </c>
      <c r="G30" s="24"/>
    </row>
    <row r="31" spans="3:8" x14ac:dyDescent="0.2">
      <c r="C31" s="18">
        <v>42369</v>
      </c>
      <c r="D31" s="19">
        <v>71.099999999999994</v>
      </c>
      <c r="E31" s="16"/>
      <c r="F31" s="24">
        <f t="shared" si="0"/>
        <v>1.3511858111718922</v>
      </c>
      <c r="G31" s="24">
        <f>F31/F27-1</f>
        <v>4.089408166517261E-2</v>
      </c>
    </row>
    <row r="32" spans="3:8" x14ac:dyDescent="0.2">
      <c r="C32" s="18">
        <v>42460</v>
      </c>
      <c r="D32" s="19">
        <v>71.099999999999994</v>
      </c>
      <c r="E32" s="16"/>
      <c r="F32" s="24">
        <f t="shared" si="0"/>
        <v>1.3511858111718922</v>
      </c>
      <c r="G32" s="24"/>
    </row>
    <row r="33" spans="3:8" x14ac:dyDescent="0.2">
      <c r="C33" s="18">
        <v>42551</v>
      </c>
      <c r="D33" s="19">
        <v>69.3</v>
      </c>
      <c r="E33" s="16">
        <v>2.5</v>
      </c>
      <c r="F33" s="24">
        <f t="shared" si="0"/>
        <v>1.3644886250652863</v>
      </c>
      <c r="G33" s="24"/>
    </row>
    <row r="34" spans="3:8" x14ac:dyDescent="0.2">
      <c r="C34" s="18">
        <v>42643</v>
      </c>
      <c r="D34" s="19">
        <v>68.900000000000006</v>
      </c>
      <c r="E34" s="21">
        <v>2.5</v>
      </c>
      <c r="F34" s="24">
        <f t="shared" si="0"/>
        <v>1.4058367652187802</v>
      </c>
      <c r="G34" s="24"/>
    </row>
    <row r="35" spans="3:8" x14ac:dyDescent="0.2">
      <c r="C35" s="18">
        <v>42735</v>
      </c>
      <c r="D35" s="19">
        <v>70.7</v>
      </c>
      <c r="E35" s="16"/>
      <c r="F35" s="24">
        <f t="shared" si="0"/>
        <v>1.4425639956599094</v>
      </c>
      <c r="G35" s="24">
        <f>F35/F31-1</f>
        <v>6.7628140950328985E-2</v>
      </c>
      <c r="H35">
        <f>F35/F23-1</f>
        <v>0.17339818928911166</v>
      </c>
    </row>
    <row r="36" spans="3:8" x14ac:dyDescent="0.2">
      <c r="C36" s="18">
        <v>42825</v>
      </c>
      <c r="D36" s="19">
        <v>74</v>
      </c>
      <c r="E36" s="16"/>
      <c r="F36" s="24">
        <f t="shared" si="0"/>
        <v>1.5098972514686464</v>
      </c>
      <c r="G36" s="24"/>
    </row>
    <row r="37" spans="3:8" x14ac:dyDescent="0.2">
      <c r="C37" s="18">
        <v>42916</v>
      </c>
      <c r="D37" s="22">
        <v>71.3</v>
      </c>
      <c r="E37" s="16">
        <v>2</v>
      </c>
      <c r="F37" s="24">
        <f t="shared" si="0"/>
        <v>1.4956144396304294</v>
      </c>
      <c r="G37" s="24"/>
    </row>
    <row r="38" spans="3:8" x14ac:dyDescent="0.2">
      <c r="C38" s="18">
        <v>43008</v>
      </c>
      <c r="D38" s="22">
        <v>72.099999999999994</v>
      </c>
      <c r="E38" s="20">
        <v>2</v>
      </c>
      <c r="F38" s="24">
        <f t="shared" si="0"/>
        <v>1.5543482465163367</v>
      </c>
      <c r="G38" s="24"/>
    </row>
    <row r="39" spans="3:8" x14ac:dyDescent="0.2">
      <c r="C39" s="18">
        <v>43100</v>
      </c>
      <c r="D39" s="22">
        <v>73.8</v>
      </c>
      <c r="E39" s="16"/>
      <c r="F39" s="24">
        <f t="shared" si="0"/>
        <v>1.5909972342982752</v>
      </c>
      <c r="G39" s="24">
        <f>F39/F35-1</f>
        <v>0.10289542722883782</v>
      </c>
    </row>
    <row r="40" spans="3:8" x14ac:dyDescent="0.2">
      <c r="C40" s="18">
        <v>43190</v>
      </c>
      <c r="D40" s="19">
        <v>78.2</v>
      </c>
      <c r="E40" s="16"/>
      <c r="F40" s="24">
        <f t="shared" si="0"/>
        <v>1.6858534379691752</v>
      </c>
      <c r="G40" s="24"/>
    </row>
    <row r="41" spans="3:8" x14ac:dyDescent="0.2">
      <c r="C41" s="18">
        <v>43281</v>
      </c>
      <c r="D41" s="22">
        <v>80.900000000000006</v>
      </c>
      <c r="E41" s="16">
        <v>2</v>
      </c>
      <c r="F41" s="24">
        <f t="shared" si="0"/>
        <v>1.7871771100721818</v>
      </c>
      <c r="G41" s="24"/>
    </row>
    <row r="42" spans="3:8" x14ac:dyDescent="0.2">
      <c r="C42" s="18">
        <v>43373</v>
      </c>
      <c r="D42" s="22">
        <v>80.400000000000006</v>
      </c>
      <c r="E42" s="22">
        <v>2</v>
      </c>
      <c r="F42" s="24">
        <f t="shared" si="0"/>
        <v>1.8203138920883535</v>
      </c>
      <c r="G42" s="24"/>
    </row>
    <row r="43" spans="3:8" x14ac:dyDescent="0.2">
      <c r="C43" s="18">
        <v>43465</v>
      </c>
      <c r="D43" s="22">
        <v>84.7</v>
      </c>
      <c r="E43" s="16"/>
      <c r="F43" s="24">
        <f t="shared" si="0"/>
        <v>1.9176689883070093</v>
      </c>
      <c r="G43" s="24">
        <f>F43/F39-1</f>
        <v>0.2053251551708799</v>
      </c>
    </row>
    <row r="44" spans="3:8" x14ac:dyDescent="0.2">
      <c r="C44" s="18">
        <v>43555</v>
      </c>
      <c r="D44" s="22">
        <v>86.16</v>
      </c>
      <c r="E44" s="16"/>
      <c r="F44" s="24">
        <f t="shared" si="0"/>
        <v>1.9507244395812504</v>
      </c>
      <c r="G44" s="24"/>
    </row>
    <row r="45" spans="3:8" x14ac:dyDescent="0.2">
      <c r="C45" s="18">
        <v>43646</v>
      </c>
      <c r="D45" s="22">
        <v>85.28</v>
      </c>
      <c r="E45" s="16">
        <v>2.25</v>
      </c>
      <c r="F45" s="24">
        <f t="shared" si="0"/>
        <v>1.9817422260509152</v>
      </c>
      <c r="G45" s="24"/>
    </row>
    <row r="46" spans="3:8" x14ac:dyDescent="0.2">
      <c r="C46" s="18">
        <v>43738</v>
      </c>
      <c r="D46" s="22">
        <v>83.52</v>
      </c>
      <c r="E46" s="23">
        <v>2.25</v>
      </c>
      <c r="F46" s="24">
        <f t="shared" si="0"/>
        <v>1.9931288781471268</v>
      </c>
      <c r="G46" s="24"/>
    </row>
    <row r="47" spans="3:8" x14ac:dyDescent="0.2">
      <c r="C47" s="18">
        <v>43830</v>
      </c>
      <c r="D47" s="22">
        <v>83.47</v>
      </c>
      <c r="E47" s="16"/>
      <c r="F47" s="24">
        <f t="shared" si="0"/>
        <v>1.9919356735984277</v>
      </c>
      <c r="G47" s="24">
        <f>F47/F43-1</f>
        <v>3.8727583198278515E-2</v>
      </c>
      <c r="H47">
        <f>F47/F35-1</f>
        <v>0.38083002181626258</v>
      </c>
    </row>
    <row r="48" spans="3:8" x14ac:dyDescent="0.2">
      <c r="C48" s="18">
        <v>43921</v>
      </c>
      <c r="D48" s="22">
        <v>77.660693495845905</v>
      </c>
      <c r="E48" s="16"/>
      <c r="F48" s="24">
        <f t="shared" si="0"/>
        <v>1.8533018546875386</v>
      </c>
      <c r="G48" s="24"/>
    </row>
    <row r="49" spans="3:8" x14ac:dyDescent="0.2">
      <c r="C49" s="18">
        <v>44012</v>
      </c>
      <c r="D49" s="22">
        <v>79.3</v>
      </c>
      <c r="E49" s="16">
        <v>2.25</v>
      </c>
      <c r="F49" s="24">
        <f t="shared" si="0"/>
        <v>1.9461166189283787</v>
      </c>
      <c r="G49" s="24"/>
    </row>
    <row r="50" spans="3:8" x14ac:dyDescent="0.2">
      <c r="C50" s="18">
        <v>44104</v>
      </c>
      <c r="D50" s="22">
        <v>78.36</v>
      </c>
      <c r="E50" s="23">
        <v>1.99</v>
      </c>
      <c r="F50" s="24">
        <f t="shared" si="0"/>
        <v>1.9718848717641266</v>
      </c>
      <c r="G50" s="24"/>
    </row>
    <row r="51" spans="3:8" x14ac:dyDescent="0.2">
      <c r="C51" s="18">
        <v>44196</v>
      </c>
      <c r="D51" s="22">
        <v>82.42</v>
      </c>
      <c r="E51" s="16"/>
      <c r="F51" s="24">
        <f t="shared" si="0"/>
        <v>2.0740524646605323</v>
      </c>
      <c r="G51" s="24">
        <f>F51/F47-1</f>
        <v>4.1224619926486294E-2</v>
      </c>
    </row>
    <row r="52" spans="3:8" x14ac:dyDescent="0.2">
      <c r="C52" s="18">
        <v>44286</v>
      </c>
      <c r="D52" s="22">
        <v>84.07</v>
      </c>
      <c r="E52" s="16"/>
      <c r="F52" s="24">
        <f t="shared" si="0"/>
        <v>2.1155737770445393</v>
      </c>
      <c r="G52" s="24"/>
    </row>
    <row r="53" spans="3:8" x14ac:dyDescent="0.2">
      <c r="C53" s="18">
        <v>44377</v>
      </c>
      <c r="D53" s="22">
        <v>92.41</v>
      </c>
      <c r="E53" s="16">
        <v>2.06</v>
      </c>
      <c r="F53" s="24">
        <f t="shared" si="0"/>
        <v>2.3772838672225247</v>
      </c>
      <c r="G53" s="24"/>
    </row>
    <row r="54" spans="3:8" x14ac:dyDescent="0.2">
      <c r="C54" s="18">
        <v>44469</v>
      </c>
      <c r="D54" s="22">
        <v>92.52</v>
      </c>
      <c r="E54" s="23">
        <v>2.31</v>
      </c>
      <c r="F54" s="24">
        <f t="shared" si="0"/>
        <v>2.4395393261412401</v>
      </c>
      <c r="G54" s="24"/>
    </row>
    <row r="55" spans="3:8" x14ac:dyDescent="0.2">
      <c r="C55" s="18">
        <v>44561</v>
      </c>
      <c r="D55" s="22">
        <v>94.98</v>
      </c>
      <c r="E55" s="16"/>
      <c r="F55" s="24">
        <f t="shared" si="0"/>
        <v>2.5044038607532966</v>
      </c>
      <c r="G55" s="24">
        <f>F55/F51-1</f>
        <v>0.20749301352085192</v>
      </c>
    </row>
    <row r="56" spans="3:8" x14ac:dyDescent="0.2">
      <c r="C56" s="18">
        <v>44651</v>
      </c>
      <c r="D56" s="22">
        <v>97.15</v>
      </c>
      <c r="E56" s="16"/>
      <c r="F56" s="24">
        <f t="shared" si="0"/>
        <v>2.5616217632362894</v>
      </c>
      <c r="G56" s="24"/>
    </row>
    <row r="57" spans="3:8" x14ac:dyDescent="0.2">
      <c r="C57" s="18">
        <v>44742</v>
      </c>
      <c r="D57" s="22">
        <v>93.55</v>
      </c>
      <c r="E57" s="16">
        <v>2.37</v>
      </c>
      <c r="F57" s="24">
        <f t="shared" si="0"/>
        <v>2.5291894959302614</v>
      </c>
      <c r="G57" s="24"/>
    </row>
    <row r="58" spans="3:8" x14ac:dyDescent="0.2">
      <c r="C58" s="18">
        <v>44834</v>
      </c>
      <c r="D58" s="22">
        <v>91.32</v>
      </c>
      <c r="E58" s="23">
        <v>2.34</v>
      </c>
      <c r="F58" s="24">
        <f t="shared" si="0"/>
        <v>2.5321634226491536</v>
      </c>
      <c r="G58" s="24"/>
    </row>
    <row r="59" spans="3:8" x14ac:dyDescent="0.2">
      <c r="C59" s="18">
        <v>44926</v>
      </c>
      <c r="D59" s="22">
        <v>88.65</v>
      </c>
      <c r="E59" s="16"/>
      <c r="F59" s="24">
        <f t="shared" si="0"/>
        <v>2.4581284211328023</v>
      </c>
      <c r="G59" s="25">
        <f>F59/F55-1</f>
        <v>-1.84776266901997E-2</v>
      </c>
      <c r="H59">
        <f>F59/F47-1</f>
        <v>0.23404006149063949</v>
      </c>
    </row>
  </sheetData>
  <sortState xmlns:xlrd2="http://schemas.microsoft.com/office/spreadsheetml/2017/richdata2" ref="C3:E59">
    <sortCondition ref="C3:C5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D4330-3548-4787-B86A-BEDD83CE237E}">
  <sheetPr codeName="Sheet2"/>
  <dimension ref="A1:AI60"/>
  <sheetViews>
    <sheetView workbookViewId="0">
      <selection activeCell="D30" sqref="D30"/>
    </sheetView>
  </sheetViews>
  <sheetFormatPr baseColWidth="10" defaultColWidth="8.83203125" defaultRowHeight="15" x14ac:dyDescent="0.2"/>
  <cols>
    <col min="1" max="1" width="10.1640625" bestFit="1" customWidth="1"/>
    <col min="4" max="4" width="11.6640625" bestFit="1" customWidth="1"/>
    <col min="6" max="6" width="8.83203125" style="17"/>
    <col min="7" max="8" width="10.5" bestFit="1" customWidth="1"/>
    <col min="10" max="10" width="11.6640625" bestFit="1" customWidth="1"/>
    <col min="12" max="12" width="8.83203125" style="17"/>
    <col min="13" max="13" width="10.5" bestFit="1" customWidth="1"/>
    <col min="16" max="16" width="11.6640625" bestFit="1" customWidth="1"/>
    <col min="18" max="18" width="8.83203125" style="17"/>
    <col min="19" max="19" width="10.5" bestFit="1" customWidth="1"/>
    <col min="22" max="22" width="11.6640625" bestFit="1" customWidth="1"/>
    <col min="24" max="24" width="8.83203125" style="17"/>
    <col min="25" max="25" width="10.5" bestFit="1" customWidth="1"/>
    <col min="28" max="28" width="11.6640625" bestFit="1" customWidth="1"/>
    <col min="30" max="30" width="8.83203125" style="17"/>
    <col min="31" max="31" width="10.5" bestFit="1" customWidth="1"/>
    <col min="34" max="34" width="11.6640625" bestFit="1" customWidth="1"/>
  </cols>
  <sheetData>
    <row r="1" spans="1:35" x14ac:dyDescent="0.2">
      <c r="A1" s="48" t="s">
        <v>3</v>
      </c>
      <c r="B1" s="48"/>
      <c r="C1" s="48"/>
      <c r="D1" s="48"/>
      <c r="E1" s="48"/>
      <c r="G1" s="48" t="s">
        <v>4</v>
      </c>
      <c r="H1" s="48"/>
      <c r="I1" s="48"/>
      <c r="J1" s="48"/>
      <c r="K1" s="48"/>
      <c r="M1" s="48" t="s">
        <v>5</v>
      </c>
      <c r="N1" s="48"/>
      <c r="O1" s="48"/>
      <c r="P1" s="48"/>
      <c r="Q1" s="48"/>
      <c r="S1" s="48" t="s">
        <v>6</v>
      </c>
      <c r="T1" s="48"/>
      <c r="U1" s="48"/>
      <c r="V1" s="48"/>
      <c r="W1" s="48"/>
      <c r="Y1" s="48" t="s">
        <v>7</v>
      </c>
      <c r="Z1" s="48"/>
      <c r="AA1" s="48"/>
      <c r="AB1" s="48"/>
      <c r="AC1" s="48"/>
      <c r="AE1" s="48" t="s">
        <v>8</v>
      </c>
      <c r="AF1" s="48"/>
      <c r="AG1" s="48"/>
      <c r="AH1" s="48"/>
      <c r="AI1" s="48"/>
    </row>
    <row r="2" spans="1:35" x14ac:dyDescent="0.2">
      <c r="A2" s="1" t="s">
        <v>0</v>
      </c>
      <c r="B2" s="2" t="s">
        <v>1</v>
      </c>
      <c r="D2" s="3" t="s">
        <v>2</v>
      </c>
      <c r="E2" s="1"/>
      <c r="G2" s="1" t="s">
        <v>0</v>
      </c>
      <c r="H2" s="2" t="s">
        <v>1</v>
      </c>
      <c r="J2" s="3" t="s">
        <v>2</v>
      </c>
      <c r="K2" s="1"/>
      <c r="M2" s="1" t="s">
        <v>0</v>
      </c>
      <c r="N2" s="2" t="s">
        <v>1</v>
      </c>
      <c r="P2" s="3" t="s">
        <v>2</v>
      </c>
      <c r="Q2" s="12"/>
      <c r="S2" s="1" t="s">
        <v>0</v>
      </c>
      <c r="T2" s="2" t="s">
        <v>1</v>
      </c>
      <c r="V2" s="3" t="s">
        <v>2</v>
      </c>
      <c r="W2" s="1"/>
      <c r="Y2" s="1" t="s">
        <v>0</v>
      </c>
      <c r="Z2" s="2" t="s">
        <v>1</v>
      </c>
      <c r="AB2" s="3" t="s">
        <v>2</v>
      </c>
      <c r="AC2" s="12"/>
      <c r="AE2" s="1" t="s">
        <v>0</v>
      </c>
      <c r="AF2" s="2" t="s">
        <v>1</v>
      </c>
      <c r="AH2" s="3" t="s">
        <v>2</v>
      </c>
      <c r="AI2" s="1"/>
    </row>
    <row r="3" spans="1:35" x14ac:dyDescent="0.2">
      <c r="A3" s="4">
        <v>44834</v>
      </c>
      <c r="B3" s="10">
        <v>2.34</v>
      </c>
      <c r="D3" s="6">
        <v>44926</v>
      </c>
      <c r="E3" s="9">
        <v>88.65</v>
      </c>
      <c r="G3" s="4">
        <v>44804</v>
      </c>
      <c r="H3" s="9">
        <v>3.31</v>
      </c>
      <c r="J3" s="6">
        <v>44926</v>
      </c>
      <c r="K3" s="9">
        <v>123.01</v>
      </c>
      <c r="M3" s="4">
        <v>44926</v>
      </c>
      <c r="N3" s="9">
        <v>1.97</v>
      </c>
      <c r="P3" s="6">
        <v>44926</v>
      </c>
      <c r="Q3" s="9">
        <v>72.92</v>
      </c>
      <c r="S3" s="4">
        <v>44771</v>
      </c>
      <c r="T3" s="9">
        <v>1.33</v>
      </c>
      <c r="V3" s="6">
        <v>44926</v>
      </c>
      <c r="W3" s="7">
        <v>51.39</v>
      </c>
      <c r="Y3" s="6">
        <v>44895</v>
      </c>
      <c r="Z3" s="5">
        <v>0.84</v>
      </c>
      <c r="AB3" s="6">
        <v>44926</v>
      </c>
      <c r="AC3" s="5">
        <v>31.79</v>
      </c>
      <c r="AE3" s="4">
        <v>44865</v>
      </c>
      <c r="AF3" s="8">
        <v>0.57999999999999996</v>
      </c>
      <c r="AH3" s="6">
        <v>44926</v>
      </c>
      <c r="AI3" s="7">
        <v>20.95</v>
      </c>
    </row>
    <row r="4" spans="1:35" x14ac:dyDescent="0.2">
      <c r="A4" s="4">
        <v>44712</v>
      </c>
      <c r="B4" s="10">
        <v>2.37</v>
      </c>
      <c r="D4" s="6">
        <v>44834</v>
      </c>
      <c r="E4" s="9">
        <v>91.32</v>
      </c>
      <c r="G4" s="4">
        <v>44620</v>
      </c>
      <c r="H4" s="8">
        <v>3.22</v>
      </c>
      <c r="J4" s="6">
        <v>44834</v>
      </c>
      <c r="K4" s="9">
        <v>127</v>
      </c>
      <c r="M4" s="4">
        <v>44742</v>
      </c>
      <c r="N4" s="9">
        <v>2.02</v>
      </c>
      <c r="P4" s="6">
        <v>44834</v>
      </c>
      <c r="Q4" s="9">
        <v>77.94</v>
      </c>
      <c r="S4" s="4">
        <v>44592</v>
      </c>
      <c r="T4" s="8">
        <v>1.47</v>
      </c>
      <c r="V4" s="6">
        <v>44834</v>
      </c>
      <c r="W4" s="7">
        <v>52.9</v>
      </c>
      <c r="Y4" s="4">
        <v>44651</v>
      </c>
      <c r="Z4" s="9">
        <v>0.84</v>
      </c>
      <c r="AB4" s="6">
        <v>44834</v>
      </c>
      <c r="AC4" s="7">
        <v>33.770000000000003</v>
      </c>
      <c r="AE4" s="4">
        <v>44771</v>
      </c>
      <c r="AF4" s="9">
        <v>1.1399999999999999</v>
      </c>
      <c r="AH4" s="6">
        <v>44834</v>
      </c>
      <c r="AI4" s="7">
        <v>21.91</v>
      </c>
    </row>
    <row r="5" spans="1:35" x14ac:dyDescent="0.2">
      <c r="A5" s="4">
        <v>44468</v>
      </c>
      <c r="B5" s="10">
        <v>2.31</v>
      </c>
      <c r="D5" s="6">
        <v>44742</v>
      </c>
      <c r="E5" s="9">
        <v>93.55</v>
      </c>
      <c r="G5" s="4">
        <v>44436</v>
      </c>
      <c r="H5" s="8">
        <v>2.87</v>
      </c>
      <c r="J5" s="6">
        <v>44742</v>
      </c>
      <c r="K5" s="9">
        <v>130.19999999999999</v>
      </c>
      <c r="M5" s="4">
        <v>44561</v>
      </c>
      <c r="N5" s="9">
        <v>1.95</v>
      </c>
      <c r="P5" s="6">
        <v>44742</v>
      </c>
      <c r="Q5" s="9">
        <v>78.69</v>
      </c>
      <c r="S5" s="4">
        <v>44561</v>
      </c>
      <c r="T5" s="8">
        <v>7</v>
      </c>
      <c r="V5" s="6">
        <v>44742</v>
      </c>
      <c r="W5" s="7">
        <v>53.79</v>
      </c>
      <c r="Y5" s="4">
        <v>44530</v>
      </c>
      <c r="Z5" s="9">
        <v>2.37</v>
      </c>
      <c r="AB5" s="6">
        <v>44742</v>
      </c>
      <c r="AC5" s="5">
        <v>33.700000000000003</v>
      </c>
      <c r="AE5" s="4">
        <v>44680</v>
      </c>
      <c r="AF5" s="8">
        <v>0.57999999999999996</v>
      </c>
      <c r="AH5" s="6">
        <v>44742</v>
      </c>
      <c r="AI5" s="7">
        <v>23.07</v>
      </c>
    </row>
    <row r="6" spans="1:35" x14ac:dyDescent="0.2">
      <c r="A6" s="4">
        <v>44344</v>
      </c>
      <c r="B6" s="10">
        <v>2.06</v>
      </c>
      <c r="D6" s="6">
        <v>44651</v>
      </c>
      <c r="E6" s="9">
        <v>97.15</v>
      </c>
      <c r="G6" s="4">
        <v>44253</v>
      </c>
      <c r="H6" s="8">
        <v>2.74</v>
      </c>
      <c r="J6" s="6">
        <v>44651</v>
      </c>
      <c r="K6" s="9">
        <v>132.28</v>
      </c>
      <c r="M6" s="4">
        <v>44377</v>
      </c>
      <c r="N6" s="9">
        <v>1.73</v>
      </c>
      <c r="P6" s="6">
        <v>44651</v>
      </c>
      <c r="Q6" s="9">
        <v>82.05</v>
      </c>
      <c r="S6" s="4">
        <v>44407</v>
      </c>
      <c r="T6" s="8">
        <v>1.83</v>
      </c>
      <c r="V6" s="6">
        <v>44651</v>
      </c>
      <c r="W6" s="9">
        <v>53.38</v>
      </c>
      <c r="Y6" s="4">
        <v>44286</v>
      </c>
      <c r="Z6" s="9">
        <v>0.78</v>
      </c>
      <c r="AB6" s="6">
        <v>44651</v>
      </c>
      <c r="AC6" s="5">
        <v>33.71</v>
      </c>
      <c r="AE6" s="4">
        <v>44500</v>
      </c>
      <c r="AF6" s="8">
        <f>1.14+0.6</f>
        <v>1.7399999999999998</v>
      </c>
      <c r="AH6" s="6">
        <v>44651</v>
      </c>
      <c r="AI6" s="9">
        <v>23.77</v>
      </c>
    </row>
    <row r="7" spans="1:35" x14ac:dyDescent="0.2">
      <c r="A7" s="4">
        <v>44104</v>
      </c>
      <c r="B7" s="10">
        <v>1.99</v>
      </c>
      <c r="D7" s="6">
        <v>44561</v>
      </c>
      <c r="E7" s="9">
        <v>94.98</v>
      </c>
      <c r="G7" s="4">
        <v>44071</v>
      </c>
      <c r="H7" s="8">
        <v>2.7</v>
      </c>
      <c r="J7" s="6">
        <v>44561</v>
      </c>
      <c r="K7" s="9">
        <v>132.88999999999999</v>
      </c>
      <c r="M7" s="4">
        <v>44196</v>
      </c>
      <c r="N7" s="9">
        <v>1.95</v>
      </c>
      <c r="P7" s="6">
        <v>44561</v>
      </c>
      <c r="Q7" s="9">
        <v>80.650000000000006</v>
      </c>
      <c r="S7" s="4">
        <v>44407</v>
      </c>
      <c r="T7" s="8">
        <v>15</v>
      </c>
      <c r="V7" s="6">
        <v>44561</v>
      </c>
      <c r="W7" s="7">
        <v>52.9</v>
      </c>
      <c r="Y7" s="4">
        <v>44165</v>
      </c>
      <c r="Z7" s="9">
        <v>0.83</v>
      </c>
      <c r="AB7" s="6">
        <v>44561</v>
      </c>
      <c r="AC7" s="5">
        <v>33.76</v>
      </c>
      <c r="AE7" s="4">
        <v>44316</v>
      </c>
      <c r="AF7" s="8">
        <v>0.6</v>
      </c>
      <c r="AH7" s="6">
        <v>44561</v>
      </c>
      <c r="AI7" s="7">
        <v>23.05</v>
      </c>
    </row>
    <row r="8" spans="1:35" x14ac:dyDescent="0.2">
      <c r="A8" s="4">
        <v>43980</v>
      </c>
      <c r="B8" s="10">
        <v>2.25</v>
      </c>
      <c r="D8" s="6">
        <v>44469</v>
      </c>
      <c r="E8" s="9">
        <v>92.52</v>
      </c>
      <c r="G8" s="4">
        <v>43889</v>
      </c>
      <c r="H8" s="8">
        <v>3</v>
      </c>
      <c r="J8" s="6">
        <v>44469</v>
      </c>
      <c r="K8" s="9">
        <v>128.84750837594351</v>
      </c>
      <c r="M8" s="4">
        <v>44134</v>
      </c>
      <c r="N8" s="9">
        <v>9</v>
      </c>
      <c r="P8" s="6">
        <v>44469</v>
      </c>
      <c r="Q8" s="9">
        <v>81.16</v>
      </c>
      <c r="S8" s="4">
        <v>44225</v>
      </c>
      <c r="T8" s="8">
        <v>1.74</v>
      </c>
      <c r="V8" s="6">
        <v>44469</v>
      </c>
      <c r="W8" s="13">
        <f>58.8</f>
        <v>58.8</v>
      </c>
      <c r="Y8" s="4">
        <v>44134</v>
      </c>
      <c r="Z8" s="9">
        <v>2</v>
      </c>
      <c r="AB8" s="6">
        <v>44469</v>
      </c>
      <c r="AC8" s="5">
        <v>35.619999999999997</v>
      </c>
      <c r="AE8" s="4">
        <v>44134</v>
      </c>
      <c r="AF8" s="8">
        <v>0.51</v>
      </c>
      <c r="AH8" s="6">
        <v>44469</v>
      </c>
      <c r="AI8" s="16">
        <f>24.3</f>
        <v>24.3</v>
      </c>
    </row>
    <row r="9" spans="1:35" x14ac:dyDescent="0.2">
      <c r="A9" s="4">
        <v>43738</v>
      </c>
      <c r="B9" s="10">
        <v>2.25</v>
      </c>
      <c r="D9" s="6">
        <v>44377</v>
      </c>
      <c r="E9" s="9">
        <v>92.41</v>
      </c>
      <c r="G9" s="4">
        <v>43707</v>
      </c>
      <c r="H9" s="8">
        <v>3</v>
      </c>
      <c r="J9" s="6">
        <v>44377</v>
      </c>
      <c r="K9" s="9">
        <v>127.92860365121265</v>
      </c>
      <c r="M9" s="4">
        <v>44012</v>
      </c>
      <c r="N9" s="9">
        <v>2</v>
      </c>
      <c r="P9" s="6">
        <v>44377</v>
      </c>
      <c r="Q9" s="9">
        <v>78.17</v>
      </c>
      <c r="S9" s="4">
        <v>44033</v>
      </c>
      <c r="T9" s="8">
        <v>2.5</v>
      </c>
      <c r="V9" s="6">
        <v>44377</v>
      </c>
      <c r="W9" s="7">
        <v>73.81</v>
      </c>
      <c r="Y9" s="4">
        <v>43921</v>
      </c>
      <c r="Z9" s="9">
        <v>1</v>
      </c>
      <c r="AB9" s="6">
        <v>44377</v>
      </c>
      <c r="AC9" s="5">
        <v>34.79</v>
      </c>
      <c r="AE9" s="4">
        <v>43951</v>
      </c>
      <c r="AF9" s="5">
        <v>0.6</v>
      </c>
      <c r="AH9" s="6">
        <v>44377</v>
      </c>
      <c r="AI9" s="14">
        <v>23.99</v>
      </c>
    </row>
    <row r="10" spans="1:35" x14ac:dyDescent="0.2">
      <c r="A10" s="4">
        <v>43616</v>
      </c>
      <c r="B10" s="10">
        <v>2.25</v>
      </c>
      <c r="D10" s="6">
        <v>44286</v>
      </c>
      <c r="E10" s="9">
        <v>84.07</v>
      </c>
      <c r="G10" s="4">
        <v>43524</v>
      </c>
      <c r="H10" s="9">
        <v>3</v>
      </c>
      <c r="J10" s="6">
        <v>44286</v>
      </c>
      <c r="K10" s="9">
        <v>114.6</v>
      </c>
      <c r="M10" s="4">
        <v>43830</v>
      </c>
      <c r="N10" s="9">
        <v>2</v>
      </c>
      <c r="P10" s="6">
        <v>44286</v>
      </c>
      <c r="Q10" s="5">
        <v>70.33</v>
      </c>
      <c r="S10" s="4">
        <v>43861</v>
      </c>
      <c r="T10" s="8">
        <v>2.5</v>
      </c>
      <c r="V10" s="6">
        <v>44286</v>
      </c>
      <c r="W10" s="7">
        <v>73.13</v>
      </c>
      <c r="Y10" s="4">
        <v>43798</v>
      </c>
      <c r="Z10" s="9">
        <v>1</v>
      </c>
      <c r="AB10" s="6">
        <v>44286</v>
      </c>
      <c r="AC10" s="5">
        <v>31.59</v>
      </c>
      <c r="AE10" s="4">
        <v>43769</v>
      </c>
      <c r="AF10" s="5">
        <v>0.6</v>
      </c>
      <c r="AH10" s="6">
        <v>44286</v>
      </c>
      <c r="AI10" s="14">
        <v>22.3</v>
      </c>
    </row>
    <row r="11" spans="1:35" x14ac:dyDescent="0.2">
      <c r="A11" s="4">
        <v>43371</v>
      </c>
      <c r="B11" s="9">
        <v>2</v>
      </c>
      <c r="D11" s="6">
        <v>44196</v>
      </c>
      <c r="E11" s="9">
        <v>82.42</v>
      </c>
      <c r="G11" s="4">
        <v>43343</v>
      </c>
      <c r="H11" s="8">
        <v>3</v>
      </c>
      <c r="J11" s="6">
        <v>44196</v>
      </c>
      <c r="K11" s="9">
        <v>114.97</v>
      </c>
      <c r="M11" s="4">
        <v>43644</v>
      </c>
      <c r="N11" s="9">
        <v>2</v>
      </c>
      <c r="P11" s="6">
        <v>44196</v>
      </c>
      <c r="Q11" s="5">
        <v>69.349999999999994</v>
      </c>
      <c r="S11" s="4">
        <v>43677</v>
      </c>
      <c r="T11" s="8">
        <v>2.5</v>
      </c>
      <c r="V11" s="6">
        <v>44196</v>
      </c>
      <c r="W11" s="7">
        <v>73.48</v>
      </c>
      <c r="Y11" s="4">
        <v>43553</v>
      </c>
      <c r="Z11" s="9">
        <v>1</v>
      </c>
      <c r="AB11" s="6">
        <v>44196</v>
      </c>
      <c r="AC11" s="5">
        <v>31.13</v>
      </c>
      <c r="AE11" s="4">
        <v>43585</v>
      </c>
      <c r="AF11" s="7">
        <v>0.6</v>
      </c>
      <c r="AH11" s="6">
        <v>44196</v>
      </c>
      <c r="AI11" s="15">
        <v>21.84</v>
      </c>
    </row>
    <row r="12" spans="1:35" x14ac:dyDescent="0.2">
      <c r="A12" s="4">
        <v>43251</v>
      </c>
      <c r="B12" s="8">
        <v>2</v>
      </c>
      <c r="D12" s="6">
        <v>44104</v>
      </c>
      <c r="E12" s="9">
        <v>78.36</v>
      </c>
      <c r="G12" s="4">
        <v>43159</v>
      </c>
      <c r="H12" s="8">
        <v>2.5</v>
      </c>
      <c r="J12" s="6">
        <v>44104</v>
      </c>
      <c r="K12" s="9">
        <v>109.55</v>
      </c>
      <c r="M12" s="4">
        <v>43464</v>
      </c>
      <c r="N12" s="8">
        <v>2</v>
      </c>
      <c r="P12" s="6">
        <v>44104</v>
      </c>
      <c r="Q12" s="5">
        <v>78.75</v>
      </c>
      <c r="S12" s="4">
        <v>43496</v>
      </c>
      <c r="T12" s="8">
        <v>2.5</v>
      </c>
      <c r="V12" s="6">
        <v>44104</v>
      </c>
      <c r="W12" s="7">
        <v>69.593762356428584</v>
      </c>
      <c r="Y12" s="4">
        <v>43434</v>
      </c>
      <c r="Z12" s="8">
        <v>1</v>
      </c>
      <c r="AB12" s="6">
        <v>44104</v>
      </c>
      <c r="AC12" s="5">
        <v>33.340000000000003</v>
      </c>
      <c r="AE12" s="4">
        <v>43404</v>
      </c>
      <c r="AF12" s="5">
        <v>0.6</v>
      </c>
      <c r="AH12" s="6">
        <v>44104</v>
      </c>
      <c r="AI12" s="15">
        <v>20.71</v>
      </c>
    </row>
    <row r="13" spans="1:35" x14ac:dyDescent="0.2">
      <c r="A13" s="4">
        <v>43007</v>
      </c>
      <c r="B13" s="8">
        <v>2</v>
      </c>
      <c r="D13" s="6">
        <v>44012</v>
      </c>
      <c r="E13" s="9">
        <v>79.3</v>
      </c>
      <c r="G13" s="4">
        <v>42978</v>
      </c>
      <c r="H13" s="8">
        <v>2.5</v>
      </c>
      <c r="J13" s="6">
        <v>44012</v>
      </c>
      <c r="K13" s="9">
        <v>110.43</v>
      </c>
      <c r="M13" s="4">
        <v>43280</v>
      </c>
      <c r="N13" s="8">
        <v>2</v>
      </c>
      <c r="P13" s="6">
        <v>44012</v>
      </c>
      <c r="Q13" s="5">
        <v>77.849999999999994</v>
      </c>
      <c r="S13" s="4">
        <v>43312</v>
      </c>
      <c r="T13" s="8">
        <v>2.5</v>
      </c>
      <c r="V13" s="6">
        <v>44012</v>
      </c>
      <c r="W13" s="7">
        <v>71.81</v>
      </c>
      <c r="Y13" s="4">
        <v>43188</v>
      </c>
      <c r="Z13" s="8">
        <v>1</v>
      </c>
      <c r="AB13" s="6">
        <v>44012</v>
      </c>
      <c r="AC13" s="5">
        <v>33.14</v>
      </c>
      <c r="AE13" s="4">
        <v>43220</v>
      </c>
      <c r="AF13" s="5">
        <v>0.6</v>
      </c>
      <c r="AH13" s="6">
        <v>44012</v>
      </c>
      <c r="AI13" s="14">
        <v>20.3</v>
      </c>
    </row>
    <row r="14" spans="1:35" x14ac:dyDescent="0.2">
      <c r="A14" s="4">
        <v>42886</v>
      </c>
      <c r="B14" s="8">
        <v>2</v>
      </c>
      <c r="D14" s="6">
        <v>43921</v>
      </c>
      <c r="E14" s="9">
        <v>77.660693495845905</v>
      </c>
      <c r="G14" s="4">
        <v>42794</v>
      </c>
      <c r="H14" s="8">
        <v>2.5</v>
      </c>
      <c r="J14" s="6">
        <v>43921</v>
      </c>
      <c r="K14" s="9">
        <v>106.54</v>
      </c>
      <c r="M14" s="4">
        <v>43098</v>
      </c>
      <c r="N14" s="8">
        <v>2</v>
      </c>
      <c r="P14" s="6">
        <v>43921</v>
      </c>
      <c r="Q14" s="5">
        <v>77.37</v>
      </c>
      <c r="S14" s="4">
        <v>43131</v>
      </c>
      <c r="T14" s="8">
        <v>2.5</v>
      </c>
      <c r="V14" s="6">
        <v>43921</v>
      </c>
      <c r="W14" s="7">
        <v>71.319999999999993</v>
      </c>
      <c r="Y14" s="4">
        <v>43069</v>
      </c>
      <c r="Z14" s="8">
        <v>1</v>
      </c>
      <c r="AB14" s="6">
        <v>43921</v>
      </c>
      <c r="AC14" s="5">
        <v>32.020000000000003</v>
      </c>
      <c r="AE14" s="4">
        <v>43039</v>
      </c>
      <c r="AF14" s="5">
        <v>0.5</v>
      </c>
      <c r="AH14" s="6">
        <v>43921</v>
      </c>
      <c r="AI14" s="15">
        <v>19.79</v>
      </c>
    </row>
    <row r="15" spans="1:35" x14ac:dyDescent="0.2">
      <c r="A15" s="4">
        <v>42643</v>
      </c>
      <c r="B15" s="5">
        <v>2.5</v>
      </c>
      <c r="D15" s="6">
        <v>43830</v>
      </c>
      <c r="E15" s="9">
        <v>83.47</v>
      </c>
      <c r="G15" s="4">
        <v>42613</v>
      </c>
      <c r="H15" s="5">
        <v>2.5</v>
      </c>
      <c r="J15" s="6">
        <v>43830</v>
      </c>
      <c r="K15" s="9">
        <v>118.7</v>
      </c>
      <c r="M15" s="4">
        <v>42916</v>
      </c>
      <c r="N15" s="8">
        <v>1</v>
      </c>
      <c r="P15" s="6">
        <v>43830</v>
      </c>
      <c r="Q15" s="5">
        <v>82.58</v>
      </c>
      <c r="S15" s="4">
        <v>42947</v>
      </c>
      <c r="T15" s="8">
        <v>2.5</v>
      </c>
      <c r="V15" s="6">
        <v>43830</v>
      </c>
      <c r="W15" s="7">
        <v>78.2</v>
      </c>
      <c r="Y15" s="4">
        <v>42825</v>
      </c>
      <c r="Z15" s="8">
        <v>1</v>
      </c>
      <c r="AB15" s="6">
        <v>43830</v>
      </c>
      <c r="AC15" s="5">
        <v>34.729999999999997</v>
      </c>
      <c r="AE15" s="4">
        <v>42853</v>
      </c>
      <c r="AF15" s="8">
        <v>0.5</v>
      </c>
      <c r="AH15" s="6">
        <v>43830</v>
      </c>
      <c r="AI15" s="15">
        <v>22.02</v>
      </c>
    </row>
    <row r="16" spans="1:35" x14ac:dyDescent="0.2">
      <c r="A16" s="4">
        <v>42521</v>
      </c>
      <c r="B16" s="5">
        <v>2.5</v>
      </c>
      <c r="D16" s="6">
        <v>43738</v>
      </c>
      <c r="E16" s="9">
        <v>83.52</v>
      </c>
      <c r="G16" s="4">
        <v>42429</v>
      </c>
      <c r="H16" s="5">
        <v>2.5</v>
      </c>
      <c r="J16" s="6">
        <v>43738</v>
      </c>
      <c r="K16" s="9">
        <v>119.42</v>
      </c>
      <c r="M16" s="4">
        <v>42766</v>
      </c>
      <c r="N16" s="8">
        <v>1</v>
      </c>
      <c r="P16" s="6">
        <v>43738</v>
      </c>
      <c r="Q16" s="9">
        <v>85.279525000573713</v>
      </c>
      <c r="S16" s="4">
        <v>42734</v>
      </c>
      <c r="T16" s="8">
        <v>2.5</v>
      </c>
      <c r="V16" s="6">
        <v>43738</v>
      </c>
      <c r="W16" s="7">
        <v>77.959999999999994</v>
      </c>
      <c r="Y16" s="4">
        <v>42704</v>
      </c>
      <c r="Z16" s="8">
        <v>1</v>
      </c>
      <c r="AB16" s="6">
        <v>43738</v>
      </c>
      <c r="AC16" s="7">
        <v>35.82</v>
      </c>
      <c r="AE16" s="4">
        <v>42674</v>
      </c>
      <c r="AF16" s="8">
        <v>0.5</v>
      </c>
      <c r="AH16" s="6">
        <v>43738</v>
      </c>
      <c r="AI16" s="15">
        <v>22.64</v>
      </c>
    </row>
    <row r="17" spans="1:35" x14ac:dyDescent="0.2">
      <c r="A17" s="4">
        <v>42277</v>
      </c>
      <c r="B17" s="5">
        <v>2.5</v>
      </c>
      <c r="D17" s="6">
        <v>43646</v>
      </c>
      <c r="E17" s="9">
        <v>85.28</v>
      </c>
      <c r="G17" s="4">
        <v>42244</v>
      </c>
      <c r="H17" s="5">
        <v>2.5</v>
      </c>
      <c r="J17" s="6">
        <v>43646</v>
      </c>
      <c r="K17" s="9">
        <v>118.42</v>
      </c>
      <c r="M17" s="4">
        <v>42674</v>
      </c>
      <c r="N17" s="8">
        <v>1.25</v>
      </c>
      <c r="P17" s="6">
        <v>43646</v>
      </c>
      <c r="Q17" s="9">
        <v>85.15</v>
      </c>
      <c r="S17" s="4">
        <v>42582</v>
      </c>
      <c r="T17" s="8">
        <v>2.5</v>
      </c>
      <c r="V17" s="6">
        <v>43646</v>
      </c>
      <c r="W17" s="7">
        <v>79.37</v>
      </c>
      <c r="Y17" s="4">
        <v>42460</v>
      </c>
      <c r="Z17" s="8">
        <v>1.25</v>
      </c>
      <c r="AB17" s="6">
        <v>43646</v>
      </c>
      <c r="AC17" s="7">
        <v>35.29</v>
      </c>
      <c r="AE17" s="4">
        <v>42489</v>
      </c>
      <c r="AF17" s="8">
        <v>0.5</v>
      </c>
      <c r="AH17" s="6">
        <v>43646</v>
      </c>
      <c r="AI17" s="14">
        <v>22.53</v>
      </c>
    </row>
    <row r="18" spans="1:35" x14ac:dyDescent="0.2">
      <c r="A18" s="4">
        <v>42153</v>
      </c>
      <c r="B18" s="5">
        <v>2.5</v>
      </c>
      <c r="D18" s="6">
        <v>43555</v>
      </c>
      <c r="E18" s="9">
        <v>86.16</v>
      </c>
      <c r="G18" s="4">
        <v>42062</v>
      </c>
      <c r="H18" s="5">
        <v>2.5</v>
      </c>
      <c r="J18" s="6">
        <v>43555</v>
      </c>
      <c r="K18" s="9">
        <v>117.76</v>
      </c>
      <c r="M18" s="4">
        <v>42551</v>
      </c>
      <c r="N18" s="5">
        <v>1.25</v>
      </c>
      <c r="P18" s="6">
        <v>43555</v>
      </c>
      <c r="Q18" s="9">
        <v>78.599999999999994</v>
      </c>
      <c r="S18" s="4">
        <v>42368</v>
      </c>
      <c r="T18" s="8">
        <v>2.5</v>
      </c>
      <c r="V18" s="6">
        <v>43555</v>
      </c>
      <c r="W18" s="7">
        <v>79</v>
      </c>
      <c r="Y18" s="4">
        <v>42338</v>
      </c>
      <c r="Z18" s="8">
        <v>1.25</v>
      </c>
      <c r="AB18" s="6">
        <v>43555</v>
      </c>
      <c r="AC18" s="7">
        <v>34.729999999999997</v>
      </c>
      <c r="AE18" s="4">
        <v>42307</v>
      </c>
      <c r="AF18" s="8">
        <v>0.5</v>
      </c>
      <c r="AH18" s="6">
        <v>43555</v>
      </c>
      <c r="AI18" s="14">
        <v>23.38</v>
      </c>
    </row>
    <row r="19" spans="1:35" x14ac:dyDescent="0.2">
      <c r="A19" s="4">
        <v>41912</v>
      </c>
      <c r="B19" s="5">
        <v>2.5</v>
      </c>
      <c r="D19" s="6">
        <v>43465</v>
      </c>
      <c r="E19" s="9">
        <v>84.7</v>
      </c>
      <c r="G19" s="4">
        <v>41880</v>
      </c>
      <c r="H19" s="5">
        <v>2.5</v>
      </c>
      <c r="J19" s="6">
        <v>43465</v>
      </c>
      <c r="K19" s="7">
        <v>118.94</v>
      </c>
      <c r="M19" s="4">
        <v>42489</v>
      </c>
      <c r="N19" s="5">
        <v>1.25</v>
      </c>
      <c r="P19" s="6">
        <v>43465</v>
      </c>
      <c r="Q19" s="9">
        <v>77.400000000000006</v>
      </c>
      <c r="S19" s="4">
        <v>42216</v>
      </c>
      <c r="T19" s="8">
        <v>2.5</v>
      </c>
      <c r="V19" s="6">
        <v>43465</v>
      </c>
      <c r="W19" s="7">
        <v>80.150000000000006</v>
      </c>
      <c r="Y19" s="4">
        <v>42094</v>
      </c>
      <c r="Z19" s="8">
        <v>1.25</v>
      </c>
      <c r="AB19" s="6">
        <v>43465</v>
      </c>
      <c r="AC19" s="7">
        <v>35.26</v>
      </c>
      <c r="AE19" s="4">
        <v>42124</v>
      </c>
      <c r="AF19" s="8">
        <v>0.5</v>
      </c>
      <c r="AH19" s="6">
        <v>43465</v>
      </c>
      <c r="AI19" s="14">
        <v>22.78</v>
      </c>
    </row>
    <row r="20" spans="1:35" x14ac:dyDescent="0.2">
      <c r="A20" s="4">
        <v>41789</v>
      </c>
      <c r="B20" s="8">
        <v>2.5</v>
      </c>
      <c r="D20" s="6">
        <v>43373</v>
      </c>
      <c r="E20" s="9">
        <v>80.400000000000006</v>
      </c>
      <c r="G20" s="4">
        <v>41698</v>
      </c>
      <c r="H20" s="5">
        <v>2.5</v>
      </c>
      <c r="J20" s="6">
        <v>43373</v>
      </c>
      <c r="K20" s="9">
        <v>112.12</v>
      </c>
      <c r="M20" s="4">
        <v>42398</v>
      </c>
      <c r="N20" s="5">
        <v>1.25</v>
      </c>
      <c r="P20" s="6">
        <v>43373</v>
      </c>
      <c r="Q20" s="9">
        <v>77.900000000000006</v>
      </c>
      <c r="S20" s="4">
        <v>42003</v>
      </c>
      <c r="T20" s="8">
        <v>2.5</v>
      </c>
      <c r="V20" s="6">
        <v>43373</v>
      </c>
      <c r="W20" s="9">
        <v>78.099999999999994</v>
      </c>
      <c r="Y20" s="4">
        <v>41971</v>
      </c>
      <c r="Z20" s="5">
        <v>1.25</v>
      </c>
      <c r="AB20" s="6">
        <v>43373</v>
      </c>
      <c r="AC20" s="9">
        <v>34.56</v>
      </c>
      <c r="AE20" s="4">
        <v>41943</v>
      </c>
      <c r="AF20" s="8">
        <v>0.5</v>
      </c>
      <c r="AH20" s="6">
        <v>43373</v>
      </c>
      <c r="AI20" s="14">
        <v>22.81</v>
      </c>
    </row>
    <row r="21" spans="1:35" x14ac:dyDescent="0.2">
      <c r="A21" s="4">
        <v>41547</v>
      </c>
      <c r="B21" s="8">
        <v>2.5</v>
      </c>
      <c r="D21" s="6">
        <v>43281</v>
      </c>
      <c r="E21" s="9">
        <v>80.900000000000006</v>
      </c>
      <c r="G21" s="4">
        <v>41516</v>
      </c>
      <c r="H21" s="5">
        <v>2.5</v>
      </c>
      <c r="J21" s="6">
        <v>43281</v>
      </c>
      <c r="K21" s="9">
        <v>113.24</v>
      </c>
      <c r="M21" s="4">
        <v>42307</v>
      </c>
      <c r="N21" s="5">
        <v>1.25</v>
      </c>
      <c r="P21" s="6">
        <v>43281</v>
      </c>
      <c r="Q21" s="9">
        <v>75.900000000000006</v>
      </c>
      <c r="S21" s="4">
        <v>41851</v>
      </c>
      <c r="T21" s="8">
        <v>2.5</v>
      </c>
      <c r="V21" s="6">
        <v>43281</v>
      </c>
      <c r="W21" s="9">
        <v>76.5</v>
      </c>
      <c r="Y21" s="4">
        <v>41729</v>
      </c>
      <c r="Z21" s="5">
        <v>1.25</v>
      </c>
      <c r="AB21" s="6">
        <v>43281</v>
      </c>
      <c r="AC21" s="9">
        <v>33.5</v>
      </c>
      <c r="AE21" s="4">
        <v>41759</v>
      </c>
      <c r="AF21" s="8">
        <v>0.5</v>
      </c>
      <c r="AH21" s="6">
        <v>43281</v>
      </c>
      <c r="AI21" s="14">
        <v>22.74</v>
      </c>
    </row>
    <row r="22" spans="1:35" x14ac:dyDescent="0.2">
      <c r="A22" s="4">
        <v>41425</v>
      </c>
      <c r="B22" s="8">
        <v>2.5</v>
      </c>
      <c r="D22" s="6">
        <v>43190</v>
      </c>
      <c r="E22" s="7">
        <v>78.2</v>
      </c>
      <c r="G22" s="4">
        <v>41333</v>
      </c>
      <c r="H22" s="5">
        <v>1.75</v>
      </c>
      <c r="J22" s="6">
        <v>43190</v>
      </c>
      <c r="K22" s="7">
        <v>109.46</v>
      </c>
      <c r="M22" s="4">
        <v>42185</v>
      </c>
      <c r="N22" s="5">
        <v>1.25</v>
      </c>
      <c r="P22" s="6">
        <v>43190</v>
      </c>
      <c r="Q22" s="7">
        <v>74.7</v>
      </c>
      <c r="S22" s="4">
        <v>41638</v>
      </c>
      <c r="T22" s="8">
        <v>2.5</v>
      </c>
      <c r="V22" s="6">
        <v>43190</v>
      </c>
      <c r="W22" s="7">
        <v>76</v>
      </c>
      <c r="Y22" s="4">
        <v>41607</v>
      </c>
      <c r="Z22" s="5">
        <v>1.25</v>
      </c>
      <c r="AB22" s="6">
        <v>43190</v>
      </c>
      <c r="AC22" s="7">
        <v>32.14</v>
      </c>
      <c r="AE22" s="4">
        <v>41547</v>
      </c>
      <c r="AF22" s="8">
        <v>0.5</v>
      </c>
      <c r="AH22" s="6">
        <v>43190</v>
      </c>
      <c r="AI22" s="14">
        <v>22.69</v>
      </c>
    </row>
    <row r="23" spans="1:35" x14ac:dyDescent="0.2">
      <c r="A23" s="4">
        <v>41180</v>
      </c>
      <c r="B23" s="8">
        <v>2.5</v>
      </c>
      <c r="D23" s="6">
        <v>43100</v>
      </c>
      <c r="E23" s="9">
        <v>73.8</v>
      </c>
      <c r="G23" s="4">
        <v>41152</v>
      </c>
      <c r="H23" s="5">
        <v>1.75</v>
      </c>
      <c r="J23" s="6">
        <v>43100</v>
      </c>
      <c r="K23" s="9">
        <v>103.88</v>
      </c>
      <c r="M23" s="4">
        <v>42124</v>
      </c>
      <c r="N23" s="8">
        <v>1.25</v>
      </c>
      <c r="P23" s="6">
        <v>43100</v>
      </c>
      <c r="Q23" s="9">
        <v>71.900000000000006</v>
      </c>
      <c r="S23" s="4">
        <v>41486</v>
      </c>
      <c r="T23" s="8">
        <v>2.5</v>
      </c>
      <c r="V23" s="6">
        <v>43100</v>
      </c>
      <c r="W23" s="9">
        <v>74.5</v>
      </c>
      <c r="Y23" s="4">
        <v>41361</v>
      </c>
      <c r="Z23" s="5">
        <v>1.25</v>
      </c>
      <c r="AB23" s="6">
        <v>43100</v>
      </c>
      <c r="AC23" s="9">
        <v>31.47</v>
      </c>
      <c r="AE23" s="4">
        <v>41425</v>
      </c>
      <c r="AF23" s="8">
        <v>0.5</v>
      </c>
      <c r="AH23" s="6">
        <v>43100</v>
      </c>
      <c r="AI23" s="14">
        <v>21.6</v>
      </c>
    </row>
    <row r="24" spans="1:35" x14ac:dyDescent="0.2">
      <c r="A24" s="4">
        <v>41060</v>
      </c>
      <c r="B24" s="8">
        <v>2.5</v>
      </c>
      <c r="D24" s="6">
        <v>43008</v>
      </c>
      <c r="E24" s="9">
        <v>72.099999999999994</v>
      </c>
      <c r="G24" s="4">
        <v>40968</v>
      </c>
      <c r="H24" s="5">
        <v>1.5</v>
      </c>
      <c r="J24" s="6">
        <v>43008</v>
      </c>
      <c r="K24" s="9">
        <v>101.62</v>
      </c>
      <c r="M24" s="4">
        <v>42044</v>
      </c>
      <c r="N24" s="8">
        <v>1.25</v>
      </c>
      <c r="P24" s="6">
        <v>43008</v>
      </c>
      <c r="Q24" s="9">
        <v>73.7</v>
      </c>
      <c r="S24" s="4">
        <v>41273</v>
      </c>
      <c r="T24" s="5">
        <v>2.5</v>
      </c>
      <c r="V24" s="6">
        <v>43008</v>
      </c>
      <c r="W24" s="9">
        <v>74.099999999999994</v>
      </c>
      <c r="Y24" s="4">
        <v>41243</v>
      </c>
      <c r="Z24" s="5">
        <v>1.25</v>
      </c>
      <c r="AB24" s="6">
        <v>43008</v>
      </c>
      <c r="AC24" s="9">
        <v>31.71</v>
      </c>
      <c r="AE24" s="4">
        <v>41180</v>
      </c>
      <c r="AF24" s="8">
        <v>0.5</v>
      </c>
      <c r="AH24" s="6">
        <v>43008</v>
      </c>
      <c r="AI24" s="14">
        <v>21.76</v>
      </c>
    </row>
    <row r="25" spans="1:35" x14ac:dyDescent="0.2">
      <c r="A25" s="4">
        <v>40816</v>
      </c>
      <c r="B25" s="8">
        <v>2.5</v>
      </c>
      <c r="D25" s="6">
        <v>42916</v>
      </c>
      <c r="E25" s="9">
        <v>71.3</v>
      </c>
      <c r="G25" s="4">
        <v>40786</v>
      </c>
      <c r="H25" s="5">
        <v>1.5</v>
      </c>
      <c r="J25" s="6">
        <v>42916</v>
      </c>
      <c r="K25" s="9">
        <v>100.78</v>
      </c>
      <c r="M25" s="4">
        <v>41943</v>
      </c>
      <c r="N25" s="8">
        <v>1.25</v>
      </c>
      <c r="P25" s="6">
        <v>42916</v>
      </c>
      <c r="Q25" s="9">
        <v>71.5</v>
      </c>
      <c r="S25" s="4">
        <v>41121</v>
      </c>
      <c r="T25" s="5">
        <v>2.5</v>
      </c>
      <c r="V25" s="6">
        <v>42916</v>
      </c>
      <c r="W25" s="9">
        <v>75.7</v>
      </c>
      <c r="Y25" s="4">
        <v>40999</v>
      </c>
      <c r="Z25" s="8">
        <v>1.25</v>
      </c>
      <c r="AB25" s="6">
        <v>42916</v>
      </c>
      <c r="AC25" s="9">
        <v>30.98</v>
      </c>
      <c r="AE25" s="4">
        <v>41054</v>
      </c>
      <c r="AF25" s="8">
        <v>0.5</v>
      </c>
      <c r="AH25" s="6">
        <v>42916</v>
      </c>
      <c r="AI25" s="14">
        <v>21.81</v>
      </c>
    </row>
    <row r="26" spans="1:35" x14ac:dyDescent="0.2">
      <c r="A26" s="4">
        <v>40694</v>
      </c>
      <c r="B26" s="8">
        <v>2.5</v>
      </c>
      <c r="D26" s="6">
        <v>42825</v>
      </c>
      <c r="E26" s="7">
        <v>74</v>
      </c>
      <c r="G26" s="4">
        <v>40599</v>
      </c>
      <c r="H26" s="5">
        <v>1.5</v>
      </c>
      <c r="J26" s="6">
        <v>42825</v>
      </c>
      <c r="K26" s="7">
        <v>101.79</v>
      </c>
      <c r="M26" s="4">
        <v>41820</v>
      </c>
      <c r="N26" s="8">
        <v>1.25</v>
      </c>
      <c r="P26" s="6">
        <v>42825</v>
      </c>
      <c r="Q26" s="7">
        <v>72.099999999999994</v>
      </c>
      <c r="S26" s="4">
        <v>40907</v>
      </c>
      <c r="T26" s="5">
        <v>2.5</v>
      </c>
      <c r="V26" s="6">
        <v>42825</v>
      </c>
      <c r="W26" s="7">
        <v>75.400000000000006</v>
      </c>
      <c r="Y26" s="4">
        <v>40877</v>
      </c>
      <c r="Z26" s="8">
        <v>1.25</v>
      </c>
      <c r="AB26" s="6">
        <v>42825</v>
      </c>
      <c r="AC26" s="7">
        <v>30.99</v>
      </c>
      <c r="AE26" s="4">
        <v>40718</v>
      </c>
      <c r="AF26" s="8">
        <v>0.67</v>
      </c>
      <c r="AH26" s="6">
        <v>42825</v>
      </c>
      <c r="AI26" s="14">
        <v>22.25</v>
      </c>
    </row>
    <row r="27" spans="1:35" x14ac:dyDescent="0.2">
      <c r="A27" s="4">
        <v>40451</v>
      </c>
      <c r="B27" s="8">
        <v>4</v>
      </c>
      <c r="D27" s="6">
        <v>42735</v>
      </c>
      <c r="E27" s="7">
        <v>70.7</v>
      </c>
      <c r="G27" s="4">
        <v>40397</v>
      </c>
      <c r="H27" s="5">
        <v>1.5</v>
      </c>
      <c r="J27" s="6">
        <v>42735</v>
      </c>
      <c r="K27" s="7">
        <v>99.94</v>
      </c>
      <c r="M27" s="4">
        <v>41759</v>
      </c>
      <c r="N27" s="8">
        <v>1.25</v>
      </c>
      <c r="P27" s="6">
        <v>42735</v>
      </c>
      <c r="Q27" s="7">
        <v>71.599999999999994</v>
      </c>
      <c r="S27" s="4">
        <v>40753</v>
      </c>
      <c r="T27" s="5">
        <v>2.5</v>
      </c>
      <c r="V27" s="6">
        <v>42735</v>
      </c>
      <c r="W27" s="7">
        <v>73</v>
      </c>
      <c r="Y27" s="4">
        <v>40633</v>
      </c>
      <c r="Z27" s="8">
        <v>1.25</v>
      </c>
      <c r="AB27" s="6">
        <v>42735</v>
      </c>
      <c r="AC27" s="7">
        <v>30.84</v>
      </c>
      <c r="AE27" s="4">
        <v>40445</v>
      </c>
      <c r="AF27" s="8">
        <v>1</v>
      </c>
      <c r="AH27" s="6">
        <v>42735</v>
      </c>
      <c r="AI27" s="14">
        <v>21.41</v>
      </c>
    </row>
    <row r="28" spans="1:35" x14ac:dyDescent="0.2">
      <c r="A28" s="4">
        <v>40302</v>
      </c>
      <c r="B28" s="8">
        <v>4</v>
      </c>
      <c r="D28" s="6">
        <v>42643</v>
      </c>
      <c r="E28" s="7">
        <v>68.900000000000006</v>
      </c>
      <c r="G28" s="4">
        <v>40184</v>
      </c>
      <c r="H28" s="5">
        <v>1</v>
      </c>
      <c r="J28" s="6">
        <v>42643</v>
      </c>
      <c r="K28" s="7">
        <v>97.39</v>
      </c>
      <c r="M28" s="4">
        <v>41670</v>
      </c>
      <c r="N28" s="8">
        <v>1.25</v>
      </c>
      <c r="P28" s="6">
        <v>42643</v>
      </c>
      <c r="Q28" s="7">
        <v>71</v>
      </c>
      <c r="S28" s="4">
        <v>40542</v>
      </c>
      <c r="T28" s="5">
        <v>2.5</v>
      </c>
      <c r="V28" s="6">
        <v>42643</v>
      </c>
      <c r="W28" s="7">
        <v>72.900000000000006</v>
      </c>
      <c r="Y28" s="4">
        <v>40512</v>
      </c>
      <c r="Z28" s="8">
        <v>1.25</v>
      </c>
      <c r="AB28" s="6">
        <v>42643</v>
      </c>
      <c r="AC28" s="7">
        <v>30.7</v>
      </c>
      <c r="AE28" s="4">
        <v>40340</v>
      </c>
      <c r="AF28" s="5">
        <v>4</v>
      </c>
      <c r="AH28" s="6">
        <v>42643</v>
      </c>
      <c r="AI28" s="14">
        <v>20.94</v>
      </c>
    </row>
    <row r="29" spans="1:35" x14ac:dyDescent="0.2">
      <c r="A29" s="4">
        <v>40081</v>
      </c>
      <c r="B29" s="8">
        <v>4</v>
      </c>
      <c r="D29" s="6">
        <v>42551</v>
      </c>
      <c r="E29" s="7">
        <v>69.3</v>
      </c>
      <c r="G29" s="4">
        <v>40032</v>
      </c>
      <c r="H29" s="5">
        <v>1</v>
      </c>
      <c r="J29" s="6">
        <v>42551</v>
      </c>
      <c r="K29" s="7">
        <v>97.16</v>
      </c>
      <c r="M29" s="4">
        <v>41578</v>
      </c>
      <c r="N29" s="8">
        <v>2.5</v>
      </c>
      <c r="P29" s="6">
        <v>42551</v>
      </c>
      <c r="Q29" s="7">
        <v>69.22</v>
      </c>
      <c r="S29" s="4">
        <v>40354</v>
      </c>
      <c r="T29" s="8">
        <v>2.5</v>
      </c>
      <c r="V29" s="6">
        <v>42551</v>
      </c>
      <c r="W29" s="7">
        <v>72.3</v>
      </c>
      <c r="Y29" s="4">
        <v>40277</v>
      </c>
      <c r="Z29" s="8">
        <v>1.25</v>
      </c>
      <c r="AB29" s="6">
        <v>42551</v>
      </c>
      <c r="AC29" s="7">
        <v>28.94</v>
      </c>
      <c r="AE29" s="4">
        <v>39736</v>
      </c>
      <c r="AF29" s="5">
        <v>2.81</v>
      </c>
      <c r="AH29" s="6">
        <v>42551</v>
      </c>
      <c r="AI29" s="14">
        <v>19.66</v>
      </c>
    </row>
    <row r="30" spans="1:35" x14ac:dyDescent="0.2">
      <c r="A30" s="4">
        <v>39812</v>
      </c>
      <c r="B30" s="8">
        <v>4</v>
      </c>
      <c r="D30" s="6">
        <v>42460</v>
      </c>
      <c r="E30" s="7">
        <v>71.099999999999994</v>
      </c>
      <c r="G30" s="4">
        <v>39822</v>
      </c>
      <c r="H30" s="5">
        <v>1.25</v>
      </c>
      <c r="J30" s="6">
        <v>42460</v>
      </c>
      <c r="K30" s="7">
        <v>96.41</v>
      </c>
      <c r="M30" s="4">
        <v>41394</v>
      </c>
      <c r="N30" s="8">
        <v>2.5</v>
      </c>
      <c r="P30" s="6">
        <v>42460</v>
      </c>
      <c r="Q30" s="7">
        <v>72.08</v>
      </c>
      <c r="S30" s="4">
        <v>40184</v>
      </c>
      <c r="T30" s="8">
        <v>2.5</v>
      </c>
      <c r="V30" s="6">
        <v>42460</v>
      </c>
      <c r="W30" s="7">
        <v>72</v>
      </c>
      <c r="Y30" s="4">
        <v>40123</v>
      </c>
      <c r="Z30" s="8">
        <v>1.25</v>
      </c>
      <c r="AB30" s="6">
        <v>42460</v>
      </c>
      <c r="AC30" s="7">
        <v>29.08</v>
      </c>
      <c r="AE30" s="4">
        <v>39423</v>
      </c>
      <c r="AF30" s="5">
        <v>1.41</v>
      </c>
      <c r="AH30" s="6">
        <v>42460</v>
      </c>
      <c r="AI30" s="14">
        <v>19.96</v>
      </c>
    </row>
    <row r="31" spans="1:35" x14ac:dyDescent="0.2">
      <c r="A31" s="4">
        <v>39724</v>
      </c>
      <c r="B31" s="8">
        <v>5.5</v>
      </c>
      <c r="D31" s="6">
        <v>42369</v>
      </c>
      <c r="E31" s="7">
        <v>71.099999999999994</v>
      </c>
      <c r="G31" s="4">
        <v>39675</v>
      </c>
      <c r="H31" s="5">
        <v>0.4</v>
      </c>
      <c r="J31" s="6">
        <v>42369</v>
      </c>
      <c r="K31" s="7">
        <v>98.21</v>
      </c>
      <c r="M31" s="4">
        <v>41213</v>
      </c>
      <c r="N31" s="8">
        <v>2.5</v>
      </c>
      <c r="P31" s="6">
        <v>42369</v>
      </c>
      <c r="Q31" s="7">
        <v>73.92</v>
      </c>
      <c r="S31" s="4">
        <v>40024</v>
      </c>
      <c r="T31" s="8">
        <v>2.5</v>
      </c>
      <c r="V31" s="6">
        <v>42369</v>
      </c>
      <c r="W31" s="7">
        <v>70.56</v>
      </c>
      <c r="Y31" s="4">
        <v>39920</v>
      </c>
      <c r="Z31" s="8">
        <v>1.25</v>
      </c>
      <c r="AB31" s="6">
        <v>42369</v>
      </c>
      <c r="AC31" s="7">
        <v>30.26</v>
      </c>
      <c r="AE31" s="4">
        <v>39162</v>
      </c>
      <c r="AF31" s="5">
        <v>2.81</v>
      </c>
      <c r="AH31" s="6">
        <v>42369</v>
      </c>
      <c r="AI31" s="14">
        <v>20.11</v>
      </c>
    </row>
    <row r="32" spans="1:35" x14ac:dyDescent="0.2">
      <c r="A32" s="4">
        <v>39584</v>
      </c>
      <c r="B32" s="8">
        <v>2.5</v>
      </c>
      <c r="D32" s="6">
        <v>42277</v>
      </c>
      <c r="E32" s="7">
        <v>71.3</v>
      </c>
      <c r="G32" s="4">
        <v>39444</v>
      </c>
      <c r="H32" s="5">
        <v>0.7</v>
      </c>
      <c r="J32" s="6">
        <v>42277</v>
      </c>
      <c r="K32" s="7">
        <v>97.68</v>
      </c>
      <c r="M32" s="4">
        <v>41029</v>
      </c>
      <c r="N32" s="8">
        <v>2.5</v>
      </c>
      <c r="P32" s="6">
        <v>42277</v>
      </c>
      <c r="Q32" s="7">
        <v>78.36</v>
      </c>
      <c r="S32" s="4">
        <v>39822</v>
      </c>
      <c r="T32" s="8">
        <v>5</v>
      </c>
      <c r="V32" s="6">
        <v>42277</v>
      </c>
      <c r="W32" s="7">
        <v>72.650000000000006</v>
      </c>
      <c r="Y32" s="4">
        <v>39668</v>
      </c>
      <c r="Z32" s="8">
        <v>1.25</v>
      </c>
      <c r="AB32" s="6">
        <v>42277</v>
      </c>
      <c r="AC32" s="7">
        <v>31.57</v>
      </c>
      <c r="AE32" s="4">
        <v>39073</v>
      </c>
      <c r="AF32" s="5">
        <v>1.41</v>
      </c>
      <c r="AH32" s="6">
        <v>42277</v>
      </c>
      <c r="AI32" s="14">
        <v>20.21</v>
      </c>
    </row>
    <row r="33" spans="1:35" x14ac:dyDescent="0.2">
      <c r="A33" s="4">
        <v>39360</v>
      </c>
      <c r="B33" s="5">
        <v>3.5</v>
      </c>
      <c r="D33" s="6">
        <v>42185</v>
      </c>
      <c r="E33" s="7">
        <v>73.7</v>
      </c>
      <c r="G33" s="4"/>
      <c r="H33" s="8"/>
      <c r="J33" s="6">
        <v>42185</v>
      </c>
      <c r="K33" s="7">
        <v>99.01</v>
      </c>
      <c r="M33" s="4">
        <v>40844</v>
      </c>
      <c r="N33" s="8">
        <v>2.5</v>
      </c>
      <c r="P33" s="6">
        <v>42185</v>
      </c>
      <c r="Q33" s="7">
        <v>79.19</v>
      </c>
      <c r="S33" s="4">
        <v>39675</v>
      </c>
      <c r="T33" s="8">
        <v>5</v>
      </c>
      <c r="V33" s="6">
        <v>42185</v>
      </c>
      <c r="W33" s="7">
        <v>72.3</v>
      </c>
      <c r="Y33" s="4">
        <v>39563</v>
      </c>
      <c r="Z33" s="8">
        <v>1.25</v>
      </c>
      <c r="AB33" s="6">
        <v>42185</v>
      </c>
      <c r="AC33" s="7">
        <v>30.97</v>
      </c>
      <c r="AE33" s="4">
        <v>38901</v>
      </c>
      <c r="AF33" s="5">
        <v>2.5</v>
      </c>
      <c r="AH33" s="6">
        <v>42185</v>
      </c>
      <c r="AI33" s="14">
        <v>19.899999999999999</v>
      </c>
    </row>
    <row r="34" spans="1:35" x14ac:dyDescent="0.2">
      <c r="A34" s="4">
        <v>39211</v>
      </c>
      <c r="B34" s="5">
        <v>1.5</v>
      </c>
      <c r="D34" s="6">
        <v>42094</v>
      </c>
      <c r="E34" s="7">
        <v>74.25</v>
      </c>
      <c r="G34" s="4"/>
      <c r="H34" s="5"/>
      <c r="J34" s="6">
        <v>42094</v>
      </c>
      <c r="K34" s="7">
        <v>96.22</v>
      </c>
      <c r="M34" s="4">
        <v>40661</v>
      </c>
      <c r="N34" s="8">
        <v>2.5</v>
      </c>
      <c r="P34" s="6">
        <v>42094</v>
      </c>
      <c r="Q34" s="7">
        <v>80.44</v>
      </c>
      <c r="S34" s="4">
        <v>39451</v>
      </c>
      <c r="T34" s="8">
        <v>5</v>
      </c>
      <c r="V34" s="6">
        <v>42094</v>
      </c>
      <c r="W34" s="7">
        <v>71.599999999999994</v>
      </c>
      <c r="Y34" s="4">
        <v>39444</v>
      </c>
      <c r="Z34" s="8">
        <v>1.25</v>
      </c>
      <c r="AB34" s="6">
        <v>42094</v>
      </c>
      <c r="AC34" s="7">
        <v>30.98</v>
      </c>
      <c r="AE34" s="4">
        <v>38667</v>
      </c>
      <c r="AF34" s="5">
        <v>1.25</v>
      </c>
      <c r="AH34" s="6">
        <v>42094</v>
      </c>
      <c r="AI34" s="14">
        <v>20.14</v>
      </c>
    </row>
    <row r="35" spans="1:35" x14ac:dyDescent="0.2">
      <c r="A35" s="4">
        <v>39072</v>
      </c>
      <c r="B35" s="5">
        <v>2</v>
      </c>
      <c r="D35" s="6">
        <v>42004</v>
      </c>
      <c r="E35" s="7">
        <v>73.099999999999994</v>
      </c>
      <c r="G35" s="4"/>
      <c r="H35" s="5"/>
      <c r="J35" s="6">
        <v>42004</v>
      </c>
      <c r="K35" s="7">
        <v>96.97</v>
      </c>
      <c r="M35" s="4">
        <v>40480</v>
      </c>
      <c r="N35" s="8">
        <v>4</v>
      </c>
      <c r="P35" s="6">
        <v>42004</v>
      </c>
      <c r="Q35" s="7">
        <v>82.85</v>
      </c>
      <c r="S35" s="4">
        <v>39177</v>
      </c>
      <c r="T35" s="8">
        <v>5</v>
      </c>
      <c r="V35" s="6">
        <v>42004</v>
      </c>
      <c r="W35" s="7">
        <v>69.069999999999993</v>
      </c>
      <c r="Y35" s="4">
        <v>39248</v>
      </c>
      <c r="Z35" s="8">
        <v>0.8</v>
      </c>
      <c r="AB35" s="6">
        <v>42004</v>
      </c>
      <c r="AC35" s="7">
        <v>32.28</v>
      </c>
      <c r="AE35" s="4">
        <v>37043</v>
      </c>
      <c r="AF35" s="5">
        <v>1.35</v>
      </c>
      <c r="AH35" s="6">
        <v>42004</v>
      </c>
      <c r="AI35" s="14">
        <v>19.309999999999999</v>
      </c>
    </row>
    <row r="36" spans="1:35" x14ac:dyDescent="0.2">
      <c r="A36" s="4">
        <v>38887</v>
      </c>
      <c r="B36" s="5">
        <v>1</v>
      </c>
      <c r="D36" s="6">
        <v>41912</v>
      </c>
      <c r="E36" s="7">
        <v>71.36</v>
      </c>
      <c r="G36" s="4"/>
      <c r="H36" s="5"/>
      <c r="J36" s="6">
        <v>41912</v>
      </c>
      <c r="K36" s="7">
        <v>95.67</v>
      </c>
      <c r="M36" s="4">
        <v>40319</v>
      </c>
      <c r="N36" s="5">
        <v>4</v>
      </c>
      <c r="P36" s="6">
        <v>41912</v>
      </c>
      <c r="Q36" s="7">
        <v>82.19</v>
      </c>
      <c r="S36" s="4">
        <v>39087</v>
      </c>
      <c r="T36" s="8">
        <v>5</v>
      </c>
      <c r="V36" s="6">
        <v>41912</v>
      </c>
      <c r="W36" s="7">
        <v>69.92</v>
      </c>
      <c r="Y36" s="4">
        <v>39101</v>
      </c>
      <c r="Z36" s="8">
        <v>1.25</v>
      </c>
      <c r="AB36" s="6">
        <v>41912</v>
      </c>
      <c r="AC36" s="7">
        <v>32.4</v>
      </c>
      <c r="AE36" s="4">
        <v>36831</v>
      </c>
      <c r="AF36" s="5">
        <v>16.649999999999999</v>
      </c>
      <c r="AH36" s="6">
        <v>41912</v>
      </c>
      <c r="AI36" s="14">
        <v>19.920000000000002</v>
      </c>
    </row>
    <row r="37" spans="1:35" x14ac:dyDescent="0.2">
      <c r="A37" s="4">
        <v>38709</v>
      </c>
      <c r="B37" s="5">
        <v>1.2</v>
      </c>
      <c r="D37" s="6">
        <v>41820</v>
      </c>
      <c r="E37" s="7">
        <v>73.3</v>
      </c>
      <c r="G37" s="4"/>
      <c r="H37" s="5"/>
      <c r="J37" s="6">
        <v>41820</v>
      </c>
      <c r="K37" s="7">
        <v>97.23</v>
      </c>
      <c r="M37" s="4">
        <v>39812</v>
      </c>
      <c r="N37" s="5">
        <v>8</v>
      </c>
      <c r="P37" s="6">
        <v>41820</v>
      </c>
      <c r="Q37" s="7">
        <v>82.01</v>
      </c>
      <c r="S37" s="4">
        <v>38933</v>
      </c>
      <c r="T37" s="8">
        <v>5</v>
      </c>
      <c r="V37" s="6">
        <v>41820</v>
      </c>
      <c r="W37" s="7">
        <f>69.31+2.5</f>
        <v>71.81</v>
      </c>
      <c r="Y37" s="4">
        <v>38982</v>
      </c>
      <c r="Z37" s="8">
        <v>1.25</v>
      </c>
      <c r="AB37" s="6">
        <v>41820</v>
      </c>
      <c r="AC37" s="7">
        <v>32.04</v>
      </c>
      <c r="AE37" s="4">
        <v>36678</v>
      </c>
      <c r="AF37" s="5">
        <v>10</v>
      </c>
      <c r="AH37" s="6">
        <v>41820</v>
      </c>
      <c r="AI37" s="14">
        <v>19.98</v>
      </c>
    </row>
    <row r="38" spans="1:35" x14ac:dyDescent="0.2">
      <c r="A38" s="4">
        <v>38517</v>
      </c>
      <c r="B38" s="5">
        <v>1.8</v>
      </c>
      <c r="D38" s="6">
        <v>41729</v>
      </c>
      <c r="E38" s="7">
        <f>72.2+2.5</f>
        <v>74.7</v>
      </c>
      <c r="G38" s="4"/>
      <c r="H38" s="5"/>
      <c r="J38" s="6">
        <v>41729</v>
      </c>
      <c r="K38" s="7">
        <v>96.9</v>
      </c>
      <c r="M38" s="4">
        <v>39724</v>
      </c>
      <c r="N38" s="5">
        <v>4</v>
      </c>
      <c r="P38" s="6">
        <v>41729</v>
      </c>
      <c r="Q38" s="7">
        <f>82.3+1.25</f>
        <v>83.55</v>
      </c>
      <c r="S38" s="4">
        <v>38807</v>
      </c>
      <c r="T38" s="8">
        <v>2.5</v>
      </c>
      <c r="V38" s="6">
        <v>41729</v>
      </c>
      <c r="W38" s="7">
        <v>71.3</v>
      </c>
      <c r="Y38" s="4">
        <v>38604</v>
      </c>
      <c r="Z38" s="5">
        <v>1</v>
      </c>
      <c r="AB38" s="6">
        <v>41729</v>
      </c>
      <c r="AC38" s="7">
        <v>31.07</v>
      </c>
      <c r="AE38" s="4">
        <v>36455</v>
      </c>
      <c r="AF38" s="5">
        <v>5.75</v>
      </c>
      <c r="AH38" s="6">
        <v>41729</v>
      </c>
      <c r="AI38" s="14">
        <f>20.2+0.5</f>
        <v>20.7</v>
      </c>
    </row>
    <row r="39" spans="1:35" x14ac:dyDescent="0.2">
      <c r="A39" s="4">
        <v>38443</v>
      </c>
      <c r="B39" s="5">
        <v>2.2000000000000002</v>
      </c>
      <c r="D39" s="6">
        <v>41639</v>
      </c>
      <c r="E39" s="7">
        <v>74.099999999999994</v>
      </c>
      <c r="G39" s="4"/>
      <c r="H39" s="8"/>
      <c r="J39" s="6">
        <v>41639</v>
      </c>
      <c r="K39" s="7">
        <v>98</v>
      </c>
      <c r="M39" s="4">
        <v>39598</v>
      </c>
      <c r="N39" s="5">
        <v>4</v>
      </c>
      <c r="P39" s="6">
        <v>41639</v>
      </c>
      <c r="Q39" s="7">
        <v>85.75</v>
      </c>
      <c r="S39" s="4">
        <v>38737</v>
      </c>
      <c r="T39" s="8">
        <v>4.5</v>
      </c>
      <c r="V39" s="6">
        <v>41639</v>
      </c>
      <c r="W39" s="7">
        <v>70.900000000000006</v>
      </c>
      <c r="Y39" s="4">
        <v>38247</v>
      </c>
      <c r="Z39" s="5">
        <v>0.2</v>
      </c>
      <c r="AB39" s="6">
        <v>41639</v>
      </c>
      <c r="AC39" s="7">
        <v>32.159999999999997</v>
      </c>
      <c r="AE39" s="4">
        <v>36290</v>
      </c>
      <c r="AF39" s="5">
        <v>0.11</v>
      </c>
      <c r="AH39" s="6">
        <v>41639</v>
      </c>
      <c r="AI39" s="14">
        <v>20.45</v>
      </c>
    </row>
    <row r="40" spans="1:35" x14ac:dyDescent="0.2">
      <c r="A40" s="4">
        <v>38275</v>
      </c>
      <c r="B40" s="5">
        <v>1.8</v>
      </c>
      <c r="D40" s="6">
        <v>41547</v>
      </c>
      <c r="E40" s="7">
        <v>72.900000000000006</v>
      </c>
      <c r="G40" s="4"/>
      <c r="H40" s="8"/>
      <c r="J40" s="6">
        <v>41547</v>
      </c>
      <c r="K40" s="7">
        <v>95.4</v>
      </c>
      <c r="M40" s="4">
        <v>39388</v>
      </c>
      <c r="N40" s="5">
        <v>4</v>
      </c>
      <c r="P40" s="6">
        <v>41547</v>
      </c>
      <c r="Q40" s="7">
        <f>83.6+2.5</f>
        <v>86.1</v>
      </c>
      <c r="S40" s="4">
        <v>38547</v>
      </c>
      <c r="T40" s="8">
        <v>4.75</v>
      </c>
      <c r="V40" s="6">
        <v>41547</v>
      </c>
      <c r="W40" s="7">
        <v>73</v>
      </c>
      <c r="Y40" s="4">
        <v>38184</v>
      </c>
      <c r="Z40" s="5">
        <v>1.8</v>
      </c>
      <c r="AB40" s="6">
        <v>41547</v>
      </c>
      <c r="AC40" s="7">
        <f>31.74+1.25</f>
        <v>32.989999999999995</v>
      </c>
      <c r="AE40" s="4">
        <v>36243</v>
      </c>
      <c r="AF40" s="5">
        <v>1.25</v>
      </c>
      <c r="AH40" s="6">
        <v>41547</v>
      </c>
      <c r="AI40" s="14">
        <v>18.8</v>
      </c>
    </row>
    <row r="41" spans="1:35" x14ac:dyDescent="0.2">
      <c r="A41" s="4">
        <v>38082</v>
      </c>
      <c r="B41" s="5">
        <v>2.2000000000000002</v>
      </c>
      <c r="D41" s="6">
        <v>41455</v>
      </c>
      <c r="E41" s="7">
        <v>74.599999999999994</v>
      </c>
      <c r="G41" s="4"/>
      <c r="H41" s="8"/>
      <c r="J41" s="6">
        <v>41455</v>
      </c>
      <c r="K41" s="7">
        <v>95</v>
      </c>
      <c r="M41" s="4">
        <v>39227</v>
      </c>
      <c r="N41" s="5">
        <v>4</v>
      </c>
      <c r="P41" s="6">
        <v>41455</v>
      </c>
      <c r="Q41" s="7">
        <v>84.6</v>
      </c>
      <c r="S41" s="4">
        <v>38359</v>
      </c>
      <c r="T41" s="8">
        <v>4.25</v>
      </c>
      <c r="V41" s="6">
        <v>41455</v>
      </c>
      <c r="W41" s="7">
        <f>72+2.5</f>
        <v>74.5</v>
      </c>
      <c r="Y41" s="4">
        <v>37820</v>
      </c>
      <c r="Z41" s="5">
        <v>4.26</v>
      </c>
      <c r="AB41" s="6">
        <v>41455</v>
      </c>
      <c r="AC41" s="7">
        <v>32.26</v>
      </c>
      <c r="AE41" s="4">
        <v>36069</v>
      </c>
      <c r="AF41" s="5">
        <v>1</v>
      </c>
      <c r="AH41" s="6">
        <v>41455</v>
      </c>
      <c r="AI41" s="14">
        <v>19.100000000000001</v>
      </c>
    </row>
    <row r="42" spans="1:35" x14ac:dyDescent="0.2">
      <c r="A42" s="4">
        <v>37925</v>
      </c>
      <c r="B42" s="5">
        <v>1.8</v>
      </c>
      <c r="D42" s="6">
        <v>41364</v>
      </c>
      <c r="E42" s="7">
        <f>73.9+2.5</f>
        <v>76.400000000000006</v>
      </c>
      <c r="G42" s="4"/>
      <c r="H42" s="9"/>
      <c r="J42" s="6">
        <v>41364</v>
      </c>
      <c r="K42" s="7">
        <v>92.9</v>
      </c>
      <c r="M42" s="4">
        <v>39024</v>
      </c>
      <c r="N42" s="5">
        <v>4</v>
      </c>
      <c r="P42" s="6">
        <v>41364</v>
      </c>
      <c r="Q42" s="7">
        <f>83+2.5</f>
        <v>85.5</v>
      </c>
      <c r="S42" s="4">
        <v>38195</v>
      </c>
      <c r="T42" s="5">
        <v>1.75</v>
      </c>
      <c r="V42" s="6">
        <v>41364</v>
      </c>
      <c r="W42" s="7">
        <v>74.2</v>
      </c>
      <c r="Y42" s="4">
        <v>37820</v>
      </c>
      <c r="Z42" s="5">
        <v>1.1000000000000001</v>
      </c>
      <c r="AB42" s="6">
        <v>41364</v>
      </c>
      <c r="AC42" s="7">
        <v>31.68</v>
      </c>
      <c r="AE42" s="4">
        <v>35929</v>
      </c>
      <c r="AF42" s="5">
        <v>1.875</v>
      </c>
      <c r="AH42" s="6">
        <v>41364</v>
      </c>
      <c r="AI42" s="14">
        <f>18.8+0.5</f>
        <v>19.3</v>
      </c>
    </row>
    <row r="43" spans="1:35" x14ac:dyDescent="0.2">
      <c r="A43" s="4">
        <v>37686</v>
      </c>
      <c r="B43" s="5">
        <v>2.7</v>
      </c>
      <c r="D43" s="6">
        <v>41274</v>
      </c>
      <c r="E43" s="7">
        <v>74</v>
      </c>
      <c r="H43" s="11"/>
      <c r="J43" s="6">
        <v>41274</v>
      </c>
      <c r="K43" s="7">
        <f>87.2+1.75</f>
        <v>88.95</v>
      </c>
      <c r="M43" s="4">
        <v>38863</v>
      </c>
      <c r="N43" s="5">
        <v>4</v>
      </c>
      <c r="P43" s="6">
        <v>41274</v>
      </c>
      <c r="Q43" s="7">
        <v>84</v>
      </c>
      <c r="S43" s="4">
        <v>38135</v>
      </c>
      <c r="T43" s="5">
        <v>3.75</v>
      </c>
      <c r="V43" s="6">
        <v>41274</v>
      </c>
      <c r="W43" s="7">
        <v>74.400000000000006</v>
      </c>
      <c r="Y43" s="4">
        <v>37600</v>
      </c>
      <c r="Z43" s="5">
        <v>0.5</v>
      </c>
      <c r="AB43" s="6">
        <v>41274</v>
      </c>
      <c r="AC43" s="7">
        <v>32.24</v>
      </c>
      <c r="AE43" s="4">
        <v>35710</v>
      </c>
      <c r="AF43" s="5">
        <v>0.98440000000000005</v>
      </c>
      <c r="AH43" s="6">
        <v>41274</v>
      </c>
      <c r="AI43" s="14">
        <v>18.899999999999999</v>
      </c>
    </row>
    <row r="44" spans="1:35" x14ac:dyDescent="0.2">
      <c r="A44" s="4">
        <v>37551</v>
      </c>
      <c r="B44" s="5">
        <v>1.8</v>
      </c>
      <c r="D44" s="6">
        <v>41182</v>
      </c>
      <c r="E44" s="7">
        <v>72</v>
      </c>
      <c r="J44" s="6">
        <v>41182</v>
      </c>
      <c r="K44" s="7">
        <v>84.6</v>
      </c>
      <c r="M44" s="4">
        <v>38660</v>
      </c>
      <c r="N44" s="5">
        <v>4</v>
      </c>
      <c r="P44" s="6">
        <v>41182</v>
      </c>
      <c r="Q44" s="7">
        <f>81.7+2.5</f>
        <v>84.2</v>
      </c>
      <c r="S44" s="4">
        <v>38014</v>
      </c>
      <c r="T44" s="5">
        <v>3</v>
      </c>
      <c r="V44" s="6">
        <v>41182</v>
      </c>
      <c r="W44" s="7">
        <v>76</v>
      </c>
      <c r="Y44" s="4">
        <v>37498</v>
      </c>
      <c r="Z44" s="5">
        <v>0.87</v>
      </c>
      <c r="AB44" s="6">
        <v>41182</v>
      </c>
      <c r="AC44" s="7">
        <f>31.87+1.25</f>
        <v>33.120000000000005</v>
      </c>
      <c r="AE44" s="4">
        <v>35571</v>
      </c>
      <c r="AF44" s="5">
        <v>1.5625</v>
      </c>
      <c r="AH44" s="6">
        <v>41182</v>
      </c>
      <c r="AI44" s="14">
        <v>16.600000000000001</v>
      </c>
    </row>
    <row r="45" spans="1:35" x14ac:dyDescent="0.2">
      <c r="A45" s="4">
        <v>37363</v>
      </c>
      <c r="B45" s="5">
        <v>2.4</v>
      </c>
      <c r="D45" s="6">
        <v>41090</v>
      </c>
      <c r="E45" s="7">
        <v>73.900000000000006</v>
      </c>
      <c r="J45" s="6">
        <v>41090</v>
      </c>
      <c r="K45" s="7">
        <f>83.5+1.75</f>
        <v>85.25</v>
      </c>
      <c r="M45" s="4">
        <v>38547</v>
      </c>
      <c r="N45" s="5">
        <v>4</v>
      </c>
      <c r="P45" s="6">
        <v>41090</v>
      </c>
      <c r="Q45" s="7">
        <v>83.3</v>
      </c>
      <c r="S45" s="4">
        <v>37831</v>
      </c>
      <c r="T45" s="5">
        <v>5.2</v>
      </c>
      <c r="V45" s="6">
        <v>41090</v>
      </c>
      <c r="W45" s="7">
        <f>75.9+2.5</f>
        <v>78.400000000000006</v>
      </c>
      <c r="Y45" s="4">
        <v>37459</v>
      </c>
      <c r="Z45" s="5">
        <v>2</v>
      </c>
      <c r="AB45" s="6">
        <v>41090</v>
      </c>
      <c r="AC45" s="7">
        <v>32.6</v>
      </c>
      <c r="AE45" s="4">
        <v>35352</v>
      </c>
      <c r="AF45" s="5">
        <v>0.9375</v>
      </c>
      <c r="AH45" s="6">
        <v>41090</v>
      </c>
      <c r="AI45" s="14">
        <v>17.100000000000001</v>
      </c>
    </row>
    <row r="46" spans="1:35" x14ac:dyDescent="0.2">
      <c r="A46" s="4">
        <v>37190</v>
      </c>
      <c r="B46" s="5">
        <v>1.6</v>
      </c>
      <c r="D46" s="6">
        <v>40999</v>
      </c>
      <c r="E46" s="7">
        <f>74.2+2.5</f>
        <v>76.7</v>
      </c>
      <c r="J46" s="6">
        <v>40999</v>
      </c>
      <c r="K46" s="7">
        <v>84.9</v>
      </c>
      <c r="M46" s="4">
        <v>38468</v>
      </c>
      <c r="N46" s="5">
        <v>1</v>
      </c>
      <c r="P46" s="6">
        <v>40999</v>
      </c>
      <c r="Q46" s="7">
        <f>83.4+2.5</f>
        <v>85.9</v>
      </c>
      <c r="S46" s="4">
        <v>37650</v>
      </c>
      <c r="T46" s="5">
        <v>2.8</v>
      </c>
      <c r="V46" s="6">
        <v>40999</v>
      </c>
      <c r="W46" s="7">
        <v>78</v>
      </c>
      <c r="Y46" s="4">
        <v>37315</v>
      </c>
      <c r="Z46" s="5">
        <v>1.18</v>
      </c>
      <c r="AB46" s="6">
        <v>40999</v>
      </c>
      <c r="AC46" s="7">
        <v>32.6</v>
      </c>
      <c r="AE46" s="4"/>
      <c r="AF46" s="8"/>
      <c r="AH46" s="6">
        <v>40999</v>
      </c>
      <c r="AI46" s="14">
        <f>16.2+0.5</f>
        <v>16.7</v>
      </c>
    </row>
    <row r="47" spans="1:35" x14ac:dyDescent="0.2">
      <c r="A47" s="4">
        <v>37008</v>
      </c>
      <c r="B47" s="5">
        <v>2.35</v>
      </c>
      <c r="D47" s="6">
        <v>40908</v>
      </c>
      <c r="E47" s="7">
        <v>75.5</v>
      </c>
      <c r="J47" s="6">
        <v>40908</v>
      </c>
      <c r="K47" s="7">
        <f>83+1.5</f>
        <v>84.5</v>
      </c>
      <c r="M47" s="4">
        <v>38281</v>
      </c>
      <c r="N47" s="5">
        <v>6</v>
      </c>
      <c r="P47" s="6">
        <v>40908</v>
      </c>
      <c r="Q47" s="7">
        <v>85.1</v>
      </c>
      <c r="S47" s="4">
        <v>37470</v>
      </c>
      <c r="T47" s="5">
        <v>4.9000000000000004</v>
      </c>
      <c r="V47" s="6">
        <v>40908</v>
      </c>
      <c r="W47" s="7">
        <v>79.2</v>
      </c>
      <c r="Y47" s="4">
        <v>37277</v>
      </c>
      <c r="Z47" s="5">
        <v>1.3</v>
      </c>
      <c r="AB47" s="6">
        <v>40908</v>
      </c>
      <c r="AC47" s="7">
        <v>32.86</v>
      </c>
      <c r="AE47" s="4"/>
      <c r="AF47" s="8"/>
      <c r="AH47" s="6">
        <v>40908</v>
      </c>
      <c r="AI47" s="14">
        <v>16.7</v>
      </c>
    </row>
    <row r="48" spans="1:35" x14ac:dyDescent="0.2">
      <c r="A48" s="4">
        <v>36826</v>
      </c>
      <c r="B48" s="5">
        <v>1.4</v>
      </c>
      <c r="D48" s="6">
        <v>40816</v>
      </c>
      <c r="E48" s="7">
        <v>73.5</v>
      </c>
      <c r="J48" s="6">
        <v>40816</v>
      </c>
      <c r="K48" s="7">
        <v>85.4</v>
      </c>
      <c r="M48" s="4">
        <v>38099</v>
      </c>
      <c r="N48" s="5">
        <v>1.5</v>
      </c>
      <c r="P48" s="6">
        <v>40816</v>
      </c>
      <c r="Q48" s="7">
        <f>84</f>
        <v>84</v>
      </c>
      <c r="S48" s="4">
        <v>37267</v>
      </c>
      <c r="T48" s="5">
        <v>2.6</v>
      </c>
      <c r="V48" s="6">
        <v>40816</v>
      </c>
      <c r="W48" s="7">
        <v>79.5</v>
      </c>
      <c r="Y48" s="4">
        <v>37253</v>
      </c>
      <c r="Z48" s="5">
        <v>0.5</v>
      </c>
      <c r="AB48" s="6">
        <v>40816</v>
      </c>
      <c r="AC48" s="7">
        <f>31.7+1.25</f>
        <v>32.950000000000003</v>
      </c>
      <c r="AE48" s="4"/>
      <c r="AF48" s="8"/>
      <c r="AH48" s="6">
        <v>40816</v>
      </c>
      <c r="AI48" s="14">
        <v>16.5</v>
      </c>
    </row>
    <row r="49" spans="1:35" x14ac:dyDescent="0.2">
      <c r="A49" s="4">
        <v>36644</v>
      </c>
      <c r="B49" s="5">
        <v>1.5</v>
      </c>
      <c r="D49" s="6">
        <v>40724</v>
      </c>
      <c r="E49" s="7">
        <v>74.8</v>
      </c>
      <c r="J49" s="6">
        <v>40724</v>
      </c>
      <c r="K49" s="7">
        <f>86+1.5</f>
        <v>87.5</v>
      </c>
      <c r="M49" s="4">
        <v>37918</v>
      </c>
      <c r="N49" s="5">
        <v>0.5</v>
      </c>
      <c r="P49" s="6">
        <v>40724</v>
      </c>
      <c r="Q49" s="7">
        <v>87.9</v>
      </c>
      <c r="S49" s="4">
        <v>37095</v>
      </c>
      <c r="T49" s="5">
        <v>5</v>
      </c>
      <c r="V49" s="6">
        <v>40724</v>
      </c>
      <c r="W49" s="7">
        <f>75.9+2.5</f>
        <v>78.400000000000006</v>
      </c>
      <c r="Y49" s="4">
        <v>37085</v>
      </c>
      <c r="Z49" s="5">
        <v>2</v>
      </c>
      <c r="AB49" s="6">
        <v>40724</v>
      </c>
      <c r="AC49" s="7">
        <v>33.65</v>
      </c>
      <c r="AE49" s="4"/>
      <c r="AF49" s="8"/>
      <c r="AH49" s="6">
        <v>40724</v>
      </c>
      <c r="AI49" s="14">
        <v>16</v>
      </c>
    </row>
    <row r="50" spans="1:35" x14ac:dyDescent="0.2">
      <c r="A50" s="4">
        <v>36469</v>
      </c>
      <c r="B50" s="5">
        <v>1</v>
      </c>
      <c r="D50" s="6">
        <v>40633</v>
      </c>
      <c r="E50" s="7">
        <f>73.7+2.5</f>
        <v>76.2</v>
      </c>
      <c r="J50" s="6">
        <v>40633</v>
      </c>
      <c r="K50" s="7">
        <v>87.1</v>
      </c>
      <c r="M50" s="4">
        <v>37741</v>
      </c>
      <c r="N50" s="5">
        <v>1</v>
      </c>
      <c r="P50" s="6">
        <v>40633</v>
      </c>
      <c r="Q50" s="7">
        <f>86.1+2.5</f>
        <v>88.6</v>
      </c>
      <c r="S50" s="4">
        <v>36910</v>
      </c>
      <c r="T50" s="5">
        <v>2.5</v>
      </c>
      <c r="V50" s="6">
        <v>40633</v>
      </c>
      <c r="W50" s="7">
        <v>80.5</v>
      </c>
      <c r="Y50" s="4">
        <v>36868</v>
      </c>
      <c r="Z50" s="5">
        <v>1</v>
      </c>
      <c r="AB50" s="6">
        <v>40633</v>
      </c>
      <c r="AC50" s="7">
        <v>33</v>
      </c>
      <c r="AH50" s="6">
        <v>40633</v>
      </c>
      <c r="AI50" s="14">
        <v>16.495680923111586</v>
      </c>
    </row>
    <row r="51" spans="1:35" x14ac:dyDescent="0.2">
      <c r="A51" s="4"/>
      <c r="D51" s="6">
        <v>40543</v>
      </c>
      <c r="E51" s="7">
        <v>75.400000000000006</v>
      </c>
      <c r="J51" s="6">
        <v>40543</v>
      </c>
      <c r="K51" s="7">
        <v>87.2</v>
      </c>
      <c r="M51" s="4">
        <v>37538</v>
      </c>
      <c r="N51" s="5">
        <v>1</v>
      </c>
      <c r="P51" s="6">
        <v>40543</v>
      </c>
      <c r="Q51" s="7">
        <v>87.6</v>
      </c>
      <c r="S51" s="4">
        <v>36707</v>
      </c>
      <c r="T51" s="5">
        <v>6.05</v>
      </c>
      <c r="V51" s="6">
        <v>40543</v>
      </c>
      <c r="W51" s="7">
        <v>78.430000000000007</v>
      </c>
      <c r="Y51" s="4">
        <v>36721</v>
      </c>
      <c r="Z51" s="5">
        <v>2.1</v>
      </c>
      <c r="AB51" s="6">
        <v>40543</v>
      </c>
      <c r="AC51" s="7">
        <v>34.68</v>
      </c>
      <c r="AE51" s="4"/>
      <c r="AH51" s="6">
        <v>40543</v>
      </c>
      <c r="AI51" s="14">
        <v>16.600000000000001</v>
      </c>
    </row>
    <row r="52" spans="1:35" x14ac:dyDescent="0.2">
      <c r="A52" s="4"/>
      <c r="D52" s="6">
        <v>40451</v>
      </c>
      <c r="E52" s="7">
        <v>75.7</v>
      </c>
      <c r="J52" s="6">
        <v>40451</v>
      </c>
      <c r="K52" s="7">
        <v>88.1</v>
      </c>
      <c r="M52" s="4">
        <v>37378</v>
      </c>
      <c r="N52" s="5">
        <v>1</v>
      </c>
      <c r="P52" s="6">
        <v>40451</v>
      </c>
      <c r="Q52" s="7">
        <f>89.6+4</f>
        <v>93.6</v>
      </c>
      <c r="S52" s="4">
        <v>36539</v>
      </c>
      <c r="T52" s="5">
        <v>2.5</v>
      </c>
      <c r="V52" s="6">
        <v>40451</v>
      </c>
      <c r="W52" s="7">
        <v>80.8</v>
      </c>
      <c r="Y52" s="4">
        <v>36556</v>
      </c>
      <c r="Z52" s="5">
        <v>1.06</v>
      </c>
      <c r="AB52" s="6">
        <v>40451</v>
      </c>
      <c r="AC52" s="7">
        <f>33.8+1.25</f>
        <v>35.049999999999997</v>
      </c>
      <c r="AH52" s="6"/>
      <c r="AI52" s="7"/>
    </row>
    <row r="53" spans="1:35" x14ac:dyDescent="0.2">
      <c r="A53" s="4"/>
      <c r="D53" s="6">
        <v>40359</v>
      </c>
      <c r="E53" s="7">
        <v>77</v>
      </c>
      <c r="J53" s="6">
        <v>40359</v>
      </c>
      <c r="K53" s="7">
        <f>86.8+1.5</f>
        <v>88.3</v>
      </c>
      <c r="M53" s="4">
        <v>37183</v>
      </c>
      <c r="N53" s="5">
        <v>1</v>
      </c>
      <c r="P53" s="6">
        <v>40359</v>
      </c>
      <c r="Q53" s="7">
        <v>92</v>
      </c>
      <c r="S53" s="4">
        <v>36371</v>
      </c>
      <c r="T53" s="5">
        <v>0.5</v>
      </c>
      <c r="V53" s="6">
        <v>40359</v>
      </c>
      <c r="W53" s="7">
        <v>80</v>
      </c>
      <c r="Y53" s="4">
        <v>36504</v>
      </c>
      <c r="Z53" s="5">
        <v>1</v>
      </c>
      <c r="AB53" s="6">
        <v>40359</v>
      </c>
      <c r="AC53" s="7">
        <v>33.9</v>
      </c>
      <c r="AH53" s="6"/>
      <c r="AI53" s="7"/>
    </row>
    <row r="54" spans="1:35" x14ac:dyDescent="0.2">
      <c r="D54" s="6">
        <v>40268</v>
      </c>
      <c r="E54" s="7">
        <f>77.8+4</f>
        <v>81.8</v>
      </c>
      <c r="J54" s="6">
        <v>40268</v>
      </c>
      <c r="K54" s="7">
        <v>88.25</v>
      </c>
      <c r="P54" s="6">
        <v>40268</v>
      </c>
      <c r="Q54" s="7">
        <f>91.5+4</f>
        <v>95.5</v>
      </c>
      <c r="S54" s="4">
        <v>36250</v>
      </c>
      <c r="T54" s="5">
        <v>4.5</v>
      </c>
      <c r="V54" s="6">
        <v>40268</v>
      </c>
      <c r="W54" s="7">
        <v>81.599999999999994</v>
      </c>
      <c r="Y54" s="4">
        <v>36253</v>
      </c>
      <c r="Z54" s="5">
        <v>2.81</v>
      </c>
      <c r="AB54" s="6">
        <v>40268</v>
      </c>
      <c r="AC54" s="7">
        <f>33.5+1.25</f>
        <v>34.75</v>
      </c>
      <c r="AH54" s="6"/>
      <c r="AI54" s="7"/>
    </row>
    <row r="55" spans="1:35" x14ac:dyDescent="0.2">
      <c r="D55" s="6">
        <v>40178</v>
      </c>
      <c r="E55" s="7">
        <v>79.3</v>
      </c>
      <c r="J55" s="6">
        <v>40178</v>
      </c>
      <c r="K55" s="7">
        <f>87.6+1</f>
        <v>88.6</v>
      </c>
      <c r="P55" s="6">
        <v>40178</v>
      </c>
      <c r="Q55" s="7">
        <v>92.7</v>
      </c>
      <c r="S55" s="4">
        <v>36174</v>
      </c>
      <c r="T55" s="5">
        <v>2.75</v>
      </c>
      <c r="V55" s="6">
        <v>40178</v>
      </c>
      <c r="W55" s="7">
        <f>79.8+2.5</f>
        <v>82.3</v>
      </c>
      <c r="Y55" s="4">
        <v>36143</v>
      </c>
      <c r="Z55" s="5">
        <v>1.25</v>
      </c>
      <c r="AB55" s="6">
        <v>40178</v>
      </c>
      <c r="AC55" s="7">
        <v>34.18</v>
      </c>
      <c r="AH55" s="6"/>
      <c r="AI55" s="7"/>
    </row>
    <row r="56" spans="1:35" x14ac:dyDescent="0.2">
      <c r="D56" s="6">
        <v>40086</v>
      </c>
      <c r="E56" s="7">
        <f>77.3</f>
        <v>77.3</v>
      </c>
      <c r="J56" s="6">
        <v>40086</v>
      </c>
      <c r="K56" s="7">
        <v>87.7</v>
      </c>
      <c r="P56" s="6">
        <v>40086</v>
      </c>
      <c r="Q56" s="7">
        <v>87.8</v>
      </c>
      <c r="S56" s="4">
        <v>36007</v>
      </c>
      <c r="T56" s="5">
        <v>3.8</v>
      </c>
      <c r="V56" s="6">
        <v>40086</v>
      </c>
      <c r="W56" s="7">
        <v>81.900000000000006</v>
      </c>
      <c r="AB56" s="6">
        <v>40086</v>
      </c>
      <c r="AC56" s="7">
        <f>33.7+1.25</f>
        <v>34.950000000000003</v>
      </c>
      <c r="AH56" s="6"/>
      <c r="AI56" s="7"/>
    </row>
    <row r="57" spans="1:35" x14ac:dyDescent="0.2">
      <c r="D57" s="6">
        <v>39994</v>
      </c>
      <c r="E57" s="7">
        <v>79.2</v>
      </c>
      <c r="J57" s="6">
        <v>39994</v>
      </c>
      <c r="K57" s="7">
        <f>87.1+1</f>
        <v>88.1</v>
      </c>
      <c r="P57" s="6">
        <v>39994</v>
      </c>
      <c r="Q57" s="7">
        <v>86.9</v>
      </c>
      <c r="S57" s="4">
        <v>35818</v>
      </c>
      <c r="T57" s="5">
        <v>2.2000000000000002</v>
      </c>
      <c r="V57" s="6">
        <v>39994</v>
      </c>
      <c r="W57" s="7">
        <f>82.8+2.5</f>
        <v>85.3</v>
      </c>
      <c r="AB57" s="6">
        <v>39994</v>
      </c>
      <c r="AC57" s="7">
        <v>34.200000000000003</v>
      </c>
      <c r="AH57" s="6"/>
      <c r="AI57" s="7"/>
    </row>
    <row r="58" spans="1:35" x14ac:dyDescent="0.2">
      <c r="D58" s="6">
        <v>39903</v>
      </c>
      <c r="E58" s="7">
        <v>82</v>
      </c>
      <c r="J58" s="6">
        <v>39903</v>
      </c>
      <c r="K58" s="7">
        <v>88.82</v>
      </c>
      <c r="P58" s="6">
        <v>39903</v>
      </c>
      <c r="Q58" s="7">
        <f>88.2</f>
        <v>88.2</v>
      </c>
      <c r="S58" s="4">
        <v>35611</v>
      </c>
      <c r="T58" s="5">
        <v>3</v>
      </c>
      <c r="V58" s="6">
        <v>39903</v>
      </c>
      <c r="W58" s="7">
        <v>85.3</v>
      </c>
      <c r="AB58" s="6">
        <v>39903</v>
      </c>
      <c r="AC58" s="7">
        <v>33.799999999999997</v>
      </c>
      <c r="AH58" s="6"/>
      <c r="AI58" s="7"/>
    </row>
    <row r="59" spans="1:35" x14ac:dyDescent="0.2">
      <c r="D59" s="6">
        <v>39813</v>
      </c>
      <c r="E59" s="7">
        <v>84.8</v>
      </c>
      <c r="J59" s="6">
        <v>39813</v>
      </c>
      <c r="K59" s="7">
        <f>90.5+1.25</f>
        <v>91.75</v>
      </c>
      <c r="P59" s="6">
        <v>39813</v>
      </c>
      <c r="Q59" s="7">
        <v>86.8</v>
      </c>
      <c r="S59" s="4">
        <v>35464</v>
      </c>
      <c r="T59" s="5">
        <v>2</v>
      </c>
      <c r="V59" s="6">
        <v>39813</v>
      </c>
      <c r="W59" s="7">
        <f>90.1+5</f>
        <v>95.1</v>
      </c>
      <c r="AB59" s="6">
        <v>39813</v>
      </c>
      <c r="AC59" s="7">
        <v>36.29</v>
      </c>
      <c r="AH59" s="6"/>
      <c r="AI59" s="7"/>
    </row>
    <row r="60" spans="1:35" x14ac:dyDescent="0.2">
      <c r="D60" s="6">
        <v>39721</v>
      </c>
      <c r="E60" s="7">
        <f>89.9+5.5</f>
        <v>95.4</v>
      </c>
      <c r="J60" s="6">
        <v>39721</v>
      </c>
      <c r="K60" s="7">
        <v>92.5</v>
      </c>
      <c r="P60" s="6">
        <v>39721</v>
      </c>
      <c r="Q60" s="7">
        <f>103.9+4</f>
        <v>107.9</v>
      </c>
      <c r="V60" s="6">
        <v>39721</v>
      </c>
      <c r="W60" s="7">
        <v>100</v>
      </c>
      <c r="AB60" s="6">
        <v>39721</v>
      </c>
      <c r="AC60" s="7">
        <v>37.799999999999997</v>
      </c>
      <c r="AH60" s="6"/>
      <c r="AI60" s="7"/>
    </row>
  </sheetData>
  <sortState xmlns:xlrd2="http://schemas.microsoft.com/office/spreadsheetml/2017/richdata2" ref="A2:B50">
    <sortCondition descending="1" ref="A2:A50"/>
  </sortState>
  <mergeCells count="6">
    <mergeCell ref="AE1:AI1"/>
    <mergeCell ref="A1:E1"/>
    <mergeCell ref="G1:K1"/>
    <mergeCell ref="M1:Q1"/>
    <mergeCell ref="S1:W1"/>
    <mergeCell ref="Y1:A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Streamlit</vt:lpstr>
      <vt:lpstr>Streamlit_Performance</vt:lpstr>
      <vt:lpstr>Findings using Funcs</vt:lpstr>
      <vt:lpstr>AADV NAV TR</vt:lpstr>
      <vt:lpstr>Albion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Mant</dc:creator>
  <cp:lastModifiedBy>Microsoft Office User</cp:lastModifiedBy>
  <dcterms:created xsi:type="dcterms:W3CDTF">2023-05-02T16:20:17Z</dcterms:created>
  <dcterms:modified xsi:type="dcterms:W3CDTF">2023-07-27T16:20:20Z</dcterms:modified>
</cp:coreProperties>
</file>